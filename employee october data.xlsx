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97CCC753-D565-4976-9FBD-45B8F55BF4F7}" xr6:coauthVersionLast="47" xr6:coauthVersionMax="47" xr10:uidLastSave="{00000000-0000-0000-0000-000000000000}"/>
  <bookViews>
    <workbookView xWindow="-110" yWindow="-110" windowWidth="19420" windowHeight="10420" activeTab="1" xr2:uid="{B3C3B15A-6D2C-493F-98B9-F33286B5A459}"/>
  </bookViews>
  <sheets>
    <sheet name="Sheet2" sheetId="2" r:id="rId1"/>
    <sheet name="Sheet1" sheetId="1" r:id="rId2"/>
  </sheets>
  <calcPr calcId="191029"/>
  <pivotCaches>
    <pivotCache cacheId="1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1" l="1"/>
  <c r="P6" i="1"/>
  <c r="P7" i="1"/>
  <c r="P8" i="1"/>
  <c r="P9" i="1"/>
  <c r="P10" i="1"/>
  <c r="P11" i="1"/>
  <c r="P12" i="1"/>
  <c r="P4" i="1"/>
  <c r="I3" i="1"/>
  <c r="I4" i="1"/>
  <c r="I5" i="1"/>
  <c r="J5" i="1" s="1"/>
  <c r="I6" i="1"/>
  <c r="J6" i="1" s="1"/>
  <c r="I7" i="1"/>
  <c r="M5" i="1" s="1"/>
  <c r="I8" i="1"/>
  <c r="M8" i="1" s="1"/>
  <c r="I9" i="1"/>
  <c r="J9" i="1" s="1"/>
  <c r="I10" i="1"/>
  <c r="J10" i="1" s="1"/>
  <c r="I11" i="1"/>
  <c r="I12" i="1"/>
  <c r="J12" i="1" s="1"/>
  <c r="I13" i="1"/>
  <c r="J13" i="1" s="1"/>
  <c r="I14" i="1"/>
  <c r="J14" i="1" s="1"/>
  <c r="I15" i="1"/>
  <c r="I16" i="1"/>
  <c r="M4" i="1" s="1"/>
  <c r="I17" i="1"/>
  <c r="M7" i="1" s="1"/>
  <c r="I18" i="1"/>
  <c r="J18" i="1" s="1"/>
  <c r="I19" i="1"/>
  <c r="H22" i="1"/>
  <c r="H21" i="1"/>
  <c r="J4" i="1"/>
  <c r="J7" i="1"/>
  <c r="J8" i="1"/>
  <c r="J11" i="1"/>
  <c r="J15" i="1"/>
  <c r="J19" i="1"/>
  <c r="J3" i="1"/>
  <c r="J16" i="1" l="1"/>
  <c r="M13" i="1"/>
  <c r="M9" i="1"/>
  <c r="M6" i="1"/>
  <c r="M10" i="1"/>
  <c r="J17" i="1"/>
  <c r="M11" i="1"/>
  <c r="M12" i="1"/>
</calcChain>
</file>

<file path=xl/sharedStrings.xml><?xml version="1.0" encoding="utf-8"?>
<sst xmlns="http://schemas.openxmlformats.org/spreadsheetml/2006/main" count="121" uniqueCount="59">
  <si>
    <t xml:space="preserve">Date </t>
  </si>
  <si>
    <t>Salesperson</t>
  </si>
  <si>
    <t>Region</t>
  </si>
  <si>
    <t xml:space="preserve">Product </t>
  </si>
  <si>
    <t xml:space="preserve">Units Sold </t>
  </si>
  <si>
    <t xml:space="preserve">Unit Price </t>
  </si>
  <si>
    <t xml:space="preserve">Returned </t>
  </si>
  <si>
    <t>13/10/2025</t>
  </si>
  <si>
    <t>14/10/2025</t>
  </si>
  <si>
    <t>15/10/2025</t>
  </si>
  <si>
    <t>16/10/2025</t>
  </si>
  <si>
    <t>17/10/2025</t>
  </si>
  <si>
    <t>18/10/2025</t>
  </si>
  <si>
    <t>Ravi</t>
  </si>
  <si>
    <t>Neha</t>
  </si>
  <si>
    <t>Aman</t>
  </si>
  <si>
    <t>Priya</t>
  </si>
  <si>
    <t>Harsh</t>
  </si>
  <si>
    <t>Dhruv</t>
  </si>
  <si>
    <t>Ayush</t>
  </si>
  <si>
    <t xml:space="preserve">Ravi </t>
  </si>
  <si>
    <t xml:space="preserve">Rahul </t>
  </si>
  <si>
    <t>Rohan</t>
  </si>
  <si>
    <t xml:space="preserve">Parul </t>
  </si>
  <si>
    <t>North</t>
  </si>
  <si>
    <t>South</t>
  </si>
  <si>
    <t>West</t>
  </si>
  <si>
    <t>East</t>
  </si>
  <si>
    <t xml:space="preserve">Laptop </t>
  </si>
  <si>
    <t xml:space="preserve">Monitor </t>
  </si>
  <si>
    <t xml:space="preserve">Mouse </t>
  </si>
  <si>
    <t>Shoes</t>
  </si>
  <si>
    <t>Phone</t>
  </si>
  <si>
    <t>Earphones</t>
  </si>
  <si>
    <t xml:space="preserve">Jacket </t>
  </si>
  <si>
    <t xml:space="preserve">Shirt </t>
  </si>
  <si>
    <t>Watch</t>
  </si>
  <si>
    <t>TV</t>
  </si>
  <si>
    <t xml:space="preserve">Discount (%) </t>
  </si>
  <si>
    <t>No</t>
  </si>
  <si>
    <t>Yes</t>
  </si>
  <si>
    <t>Total Sales</t>
  </si>
  <si>
    <t>Top Performing Salesperson</t>
  </si>
  <si>
    <t>Average Discount</t>
  </si>
  <si>
    <t>Returned Orders</t>
  </si>
  <si>
    <t>Laptop</t>
  </si>
  <si>
    <t>Monitor</t>
  </si>
  <si>
    <t>Mouse</t>
  </si>
  <si>
    <t>Charger</t>
  </si>
  <si>
    <t>Jacket</t>
  </si>
  <si>
    <t>Shirt</t>
  </si>
  <si>
    <t>AC</t>
  </si>
  <si>
    <t>Products</t>
  </si>
  <si>
    <t>Sales Person</t>
  </si>
  <si>
    <t>Bonus</t>
  </si>
  <si>
    <t>Rahul</t>
  </si>
  <si>
    <t xml:space="preserve">Sum of Units Sold </t>
  </si>
  <si>
    <t xml:space="preserve">Monthly Sales Performance Report 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</si>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</sst>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_ [$₹-439]* #,##0.00_ ;_ [$₹-439]* \-#,##0.00_ ;_ [$₹-439]* &quot;-&quot;??_ ;_ @_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2"/>
      <color theme="0"/>
      <name val="Aptos Narrow"/>
      <family val="2"/>
      <scheme val="minor"/>
    </font>
    <font>
      <b/>
      <sz val="14"/>
      <color theme="1"/>
      <name val="ADLaM Display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/>
      <bottom/>
      <diagonal/>
    </border>
    <border>
      <left/>
      <right/>
      <top/>
      <bottom style="thin">
        <color theme="9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14" fontId="0" fillId="0" borderId="0" xfId="0" applyNumberFormat="1"/>
    <xf numFmtId="9" fontId="0" fillId="0" borderId="0" xfId="1" applyNumberFormat="1" applyFont="1"/>
    <xf numFmtId="0" fontId="0" fillId="0" borderId="0" xfId="0" applyAlignment="1">
      <alignment horizontal="center"/>
    </xf>
    <xf numFmtId="0" fontId="0" fillId="0" borderId="1" xfId="0" applyBorder="1"/>
    <xf numFmtId="9" fontId="2" fillId="0" borderId="1" xfId="1" applyNumberFormat="1" applyFont="1" applyBorder="1"/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/>
    <xf numFmtId="0" fontId="0" fillId="0" borderId="0" xfId="0" pivotButton="1"/>
    <xf numFmtId="0" fontId="0" fillId="0" borderId="0" xfId="0" applyNumberFormat="1"/>
    <xf numFmtId="9" fontId="0" fillId="0" borderId="1" xfId="0" applyNumberFormat="1" applyBorder="1" applyAlignment="1">
      <alignment horizontal="center"/>
    </xf>
    <xf numFmtId="14" fontId="0" fillId="0" borderId="4" xfId="0" applyNumberFormat="1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3" fontId="0" fillId="0" borderId="4" xfId="0" applyNumberFormat="1" applyFont="1" applyBorder="1" applyAlignment="1">
      <alignment horizontal="center"/>
    </xf>
    <xf numFmtId="9" fontId="0" fillId="0" borderId="4" xfId="1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9" fontId="6" fillId="2" borderId="0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171" fontId="0" fillId="0" borderId="1" xfId="0" applyNumberFormat="1" applyFont="1" applyBorder="1" applyAlignment="1">
      <alignment horizontal="center" vertical="top"/>
    </xf>
    <xf numFmtId="0" fontId="7" fillId="3" borderId="3" xfId="0" applyFont="1" applyFill="1" applyBorder="1" applyAlignment="1">
      <alignment horizontal="center"/>
    </xf>
    <xf numFmtId="0" fontId="7" fillId="3" borderId="0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1" formatCode="_ [$₹-439]* #,##0.00_ ;_ [$₹-439]* \-#,##0.00_ ;_ [$₹-439]* &quot;-&quot;??_ ;_ @_ 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outline="0">
        <top style="thin">
          <color theme="9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[Book1.xlsx]Sheet2!PivotTable11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Units Sold 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4"/>
                <c:pt idx="0">
                  <c:v>15</c:v>
                </c:pt>
                <c:pt idx="1">
                  <c:v>28</c:v>
                </c:pt>
                <c:pt idx="2">
                  <c:v>12</c:v>
                </c:pt>
                <c:pt idx="3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23-4265-BE99-CF21DB334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0557999"/>
        <c:axId val="810566159"/>
      </c:barChart>
      <c:catAx>
        <c:axId val="81055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566159"/>
        <c:crosses val="autoZero"/>
        <c:auto val="1"/>
        <c:lblAlgn val="ctr"/>
        <c:lblOffset val="100"/>
        <c:noMultiLvlLbl val="0"/>
      </c:catAx>
      <c:valAx>
        <c:axId val="81056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557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257427</xdr:colOff>
      <xdr:row>1</xdr:row>
      <xdr:rowOff>194275</xdr:rowOff>
    </xdr:from>
    <xdr:to>
      <xdr:col>23</xdr:col>
      <xdr:colOff>468690</xdr:colOff>
      <xdr:row>13</xdr:row>
      <xdr:rowOff>135613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4BDA40-A376-6C7E-38B7-50CC7A5AAE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61.527521296295" createdVersion="8" refreshedVersion="8" minRefreshableVersion="3" recordCount="17" xr:uid="{19A450C6-E7AB-4B26-AFB1-00003FFCFC1A}">
  <cacheSource type="worksheet">
    <worksheetSource ref="A2:J19" sheet="Sheet1"/>
  </cacheSource>
  <cacheFields count="10">
    <cacheField name="Date " numFmtId="14">
      <sharedItems containsDate="1" containsMixedTypes="1" minDate="2025-01-10T00:00:00" maxDate="2025-12-11T00:00:00"/>
    </cacheField>
    <cacheField name="Salesperson" numFmtId="0">
      <sharedItems/>
    </cacheField>
    <cacheField name="Region" numFmtId="0">
      <sharedItems count="4">
        <s v="North"/>
        <s v="West"/>
        <s v="East"/>
        <s v="South"/>
      </sharedItems>
    </cacheField>
    <cacheField name="Product " numFmtId="0">
      <sharedItems/>
    </cacheField>
    <cacheField name="Units Sold " numFmtId="0">
      <sharedItems containsSemiMixedTypes="0" containsString="0" containsNumber="1" containsInteger="1" minValue="1" maxValue="23"/>
    </cacheField>
    <cacheField name="Unit Price " numFmtId="0">
      <sharedItems containsSemiMixedTypes="0" containsString="0" containsNumber="1" containsInteger="1" minValue="800" maxValue="60000"/>
    </cacheField>
    <cacheField name="Discount (%) " numFmtId="9">
      <sharedItems containsSemiMixedTypes="0" containsString="0" containsNumber="1" minValue="0.04" maxValue="0.34"/>
    </cacheField>
    <cacheField name="Returned " numFmtId="0">
      <sharedItems/>
    </cacheField>
    <cacheField name="Total Sales" numFmtId="171">
      <sharedItems containsSemiMixedTypes="0" containsString="0" containsNumber="1" minValue="2460" maxValue="176000"/>
    </cacheField>
    <cacheField name="Column1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d v="2025-01-10T00:00:00"/>
    <s v="Ravi"/>
    <x v="0"/>
    <s v="Laptop "/>
    <n v="4"/>
    <n v="50000"/>
    <n v="0.12"/>
    <s v="No"/>
    <n v="176000"/>
    <s v="High Value"/>
  </r>
  <r>
    <d v="2025-03-10T00:00:00"/>
    <s v="Aman"/>
    <x v="0"/>
    <s v="Monitor "/>
    <n v="1"/>
    <n v="25000"/>
    <n v="0.11"/>
    <s v="No"/>
    <n v="22250"/>
    <s v="Normal"/>
  </r>
  <r>
    <d v="2025-04-10T00:00:00"/>
    <s v="Priya"/>
    <x v="1"/>
    <s v="Mouse "/>
    <n v="4"/>
    <n v="1000"/>
    <n v="0.06"/>
    <s v="No"/>
    <n v="3760"/>
    <s v="Normal"/>
  </r>
  <r>
    <d v="2025-05-10T00:00:00"/>
    <s v="Harsh"/>
    <x v="2"/>
    <s v="Shoes"/>
    <n v="2"/>
    <n v="1500"/>
    <n v="0.18"/>
    <s v="No"/>
    <n v="2460"/>
    <s v="Normal"/>
  </r>
  <r>
    <d v="2025-06-10T00:00:00"/>
    <s v="Dhruv"/>
    <x v="1"/>
    <s v="Phone"/>
    <n v="6"/>
    <n v="20000"/>
    <n v="0.17"/>
    <s v="No"/>
    <n v="99600"/>
    <s v="High Value"/>
  </r>
  <r>
    <d v="2025-07-10T00:00:00"/>
    <s v="Ayush"/>
    <x v="0"/>
    <s v="Charger"/>
    <n v="3"/>
    <n v="1568"/>
    <n v="0.27"/>
    <s v="Yes"/>
    <n v="3433.92"/>
    <s v="Normal"/>
  </r>
  <r>
    <d v="2025-08-10T00:00:00"/>
    <s v="Neha"/>
    <x v="3"/>
    <s v="Earphones"/>
    <n v="6"/>
    <n v="800"/>
    <n v="0.14000000000000001"/>
    <s v="No"/>
    <n v="4128"/>
    <s v="Normal"/>
  </r>
  <r>
    <d v="2025-09-10T00:00:00"/>
    <s v="Ravi "/>
    <x v="2"/>
    <s v="Jacket "/>
    <n v="3"/>
    <n v="1200"/>
    <n v="0.24"/>
    <s v="No"/>
    <n v="2736"/>
    <s v="Normal"/>
  </r>
  <r>
    <d v="2025-10-10T00:00:00"/>
    <s v="Aman"/>
    <x v="2"/>
    <s v="Shoes"/>
    <n v="7"/>
    <n v="900"/>
    <n v="0.3"/>
    <s v="No"/>
    <n v="4410"/>
    <s v="Normal"/>
  </r>
  <r>
    <d v="2025-11-10T00:00:00"/>
    <s v="Ayush"/>
    <x v="0"/>
    <s v="Jacket "/>
    <n v="17"/>
    <n v="1600"/>
    <n v="0.23"/>
    <s v="No"/>
    <n v="20944"/>
    <s v="Normal"/>
  </r>
  <r>
    <d v="2025-12-10T00:00:00"/>
    <s v="Dhruv"/>
    <x v="1"/>
    <s v="Shirt "/>
    <n v="16"/>
    <n v="1000"/>
    <n v="0.34"/>
    <s v="Yes"/>
    <n v="10559.999999999998"/>
    <s v="Normal"/>
  </r>
  <r>
    <s v="13/10/2025"/>
    <s v="Harsh"/>
    <x v="1"/>
    <s v="Watch"/>
    <n v="14"/>
    <n v="1400"/>
    <n v="0.12"/>
    <s v="No"/>
    <n v="17248"/>
    <s v="Normal"/>
  </r>
  <r>
    <s v="14/10/2025"/>
    <s v="Rahul "/>
    <x v="0"/>
    <s v="Laptop "/>
    <n v="3"/>
    <n v="60000"/>
    <n v="0.22"/>
    <s v="No"/>
    <n v="140400"/>
    <s v="High Value"/>
  </r>
  <r>
    <s v="15/10/2025"/>
    <s v="Rohan"/>
    <x v="3"/>
    <s v="TV"/>
    <n v="6"/>
    <n v="17000"/>
    <n v="0.34"/>
    <s v="Yes"/>
    <n v="67319.999999999985"/>
    <s v="High Value"/>
  </r>
  <r>
    <s v="16/10/2025"/>
    <s v="Parul "/>
    <x v="1"/>
    <s v="AC"/>
    <n v="2"/>
    <n v="35000"/>
    <n v="0.04"/>
    <s v="No"/>
    <n v="67200"/>
    <s v="High Value"/>
  </r>
  <r>
    <s v="17/10/2025"/>
    <s v="Priya"/>
    <x v="1"/>
    <s v="Shoes"/>
    <n v="23"/>
    <n v="1700"/>
    <n v="0.13"/>
    <s v="No"/>
    <n v="34017"/>
    <s v="Normal"/>
  </r>
  <r>
    <s v="18/10/2025"/>
    <s v="Harsh"/>
    <x v="2"/>
    <s v="Laptop "/>
    <n v="3"/>
    <n v="40000"/>
    <n v="0.08"/>
    <s v="No"/>
    <n v="110400"/>
    <s v="High Valu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584471-5F5A-4160-A191-3D2B1E0D507D}" name="PivotTable11" cacheId="1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2">
  <location ref="A3:B7" firstHeaderRow="1" firstDataRow="1" firstDataCol="1"/>
  <pivotFields count="1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2"/>
        <item x="0"/>
        <item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Units Sold " fld="4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9668B-1812-45F2-B43D-705A4610E525}" name="Table3" displayName="Table3" ref="A2:J19" totalsRowShown="0" headerRowDxfId="4" tableBorderDxfId="11">
  <autoFilter ref="A2:J19" xr:uid="{9E69668B-1812-45F2-B43D-705A4610E52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96F49DE1-A7C7-4704-9608-D071328269D9}" name="Date " dataDxfId="0"/>
    <tableColumn id="2" xr3:uid="{53C408F5-37D5-44E6-8876-002ED35BE1D5}" name="Salesperson" dataDxfId="1"/>
    <tableColumn id="3" xr3:uid="{BCF50999-673D-4B73-ADC0-39D64906D71A}" name="Region" dataDxfId="10"/>
    <tableColumn id="4" xr3:uid="{E5A60711-E9F2-484C-993F-E853E7F6143A}" name="Product " dataDxfId="9"/>
    <tableColumn id="5" xr3:uid="{51DDF3BF-A9E7-488F-8D62-51B8EC5285BF}" name="Units Sold " dataDxfId="8"/>
    <tableColumn id="6" xr3:uid="{07DD411E-74B7-46A9-9501-90D1451A8A2A}" name="Unit Price " dataDxfId="7"/>
    <tableColumn id="7" xr3:uid="{374867AB-0707-4AA4-BE84-338492884459}" name="Discount (%) " dataDxfId="6" dataCellStyle="Percent"/>
    <tableColumn id="8" xr3:uid="{B2F77E77-C403-4926-BEB7-F38B5B202C5D}" name="Returned " dataDxfId="5"/>
    <tableColumn id="9" xr3:uid="{84AA031C-E4DD-4803-9EAC-429BDE5D4ED8}" name="Total Sales" dataDxfId="3">
      <calculatedColumnFormula>E3*F3*(1-G3)</calculatedColumnFormula>
    </tableColumn>
    <tableColumn id="10" xr3:uid="{8D2A1595-D47B-405C-B211-CE6ABFE43E2D}" name="Value" dataDxfId="2">
      <calculatedColumnFormula>IF(I3&gt;=50000,"High Value","Normal")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DB912-87C6-42F8-B6A1-0311545931CD}">
  <dimension ref="A3:B7"/>
  <sheetViews>
    <sheetView topLeftCell="A2" workbookViewId="0">
      <selection activeCell="J12" sqref="J12"/>
    </sheetView>
  </sheetViews>
  <sheetFormatPr defaultRowHeight="14.5" x14ac:dyDescent="0.35"/>
  <cols>
    <col min="1" max="1" width="8.81640625" bestFit="1" customWidth="1"/>
    <col min="2" max="2" width="16" bestFit="1" customWidth="1"/>
  </cols>
  <sheetData>
    <row r="3" spans="1:2" x14ac:dyDescent="0.35">
      <c r="A3" s="11" t="s">
        <v>2</v>
      </c>
      <c r="B3" t="s">
        <v>56</v>
      </c>
    </row>
    <row r="4" spans="1:2" x14ac:dyDescent="0.35">
      <c r="A4" t="s">
        <v>27</v>
      </c>
      <c r="B4" s="12">
        <v>15</v>
      </c>
    </row>
    <row r="5" spans="1:2" x14ac:dyDescent="0.35">
      <c r="A5" t="s">
        <v>24</v>
      </c>
      <c r="B5" s="12">
        <v>28</v>
      </c>
    </row>
    <row r="6" spans="1:2" x14ac:dyDescent="0.35">
      <c r="A6" t="s">
        <v>25</v>
      </c>
      <c r="B6" s="12">
        <v>12</v>
      </c>
    </row>
    <row r="7" spans="1:2" x14ac:dyDescent="0.35">
      <c r="A7" t="s">
        <v>26</v>
      </c>
      <c r="B7" s="12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2E78D-000C-414D-ADD8-DE7F2069313D}">
  <dimension ref="A1:Q23"/>
  <sheetViews>
    <sheetView tabSelected="1" zoomScale="95" zoomScaleNormal="95" workbookViewId="0">
      <selection activeCell="N18" sqref="N18"/>
    </sheetView>
  </sheetViews>
  <sheetFormatPr defaultRowHeight="14.5" x14ac:dyDescent="0.35"/>
  <cols>
    <col min="1" max="1" width="10.6328125" bestFit="1" customWidth="1"/>
    <col min="2" max="2" width="14.26953125" customWidth="1"/>
    <col min="3" max="3" width="9.08984375" customWidth="1"/>
    <col min="4" max="4" width="13.26953125" bestFit="1" customWidth="1"/>
    <col min="5" max="5" width="12.6328125" customWidth="1"/>
    <col min="6" max="6" width="12.1796875" customWidth="1"/>
    <col min="7" max="7" width="15" style="2" bestFit="1" customWidth="1"/>
    <col min="8" max="8" width="11.81640625" customWidth="1"/>
    <col min="9" max="9" width="12.90625" customWidth="1"/>
    <col min="10" max="10" width="11.1796875" customWidth="1"/>
    <col min="12" max="12" width="9.36328125" style="3" bestFit="1" customWidth="1"/>
    <col min="13" max="13" width="10.7265625" style="3" bestFit="1" customWidth="1"/>
    <col min="15" max="15" width="12.453125" bestFit="1" customWidth="1"/>
    <col min="16" max="16" width="10.7265625" bestFit="1" customWidth="1"/>
  </cols>
  <sheetData>
    <row r="1" spans="1:17" ht="19" x14ac:dyDescent="0.45">
      <c r="A1" s="24" t="s">
        <v>57</v>
      </c>
      <c r="B1" s="24"/>
      <c r="C1" s="24"/>
      <c r="D1" s="24"/>
      <c r="E1" s="24"/>
      <c r="F1" s="24"/>
      <c r="G1" s="24"/>
      <c r="H1" s="24"/>
      <c r="I1" s="24"/>
      <c r="J1" s="25"/>
    </row>
    <row r="2" spans="1:17" ht="16" x14ac:dyDescent="0.4">
      <c r="A2" s="19" t="s">
        <v>0</v>
      </c>
      <c r="B2" s="20" t="s">
        <v>1</v>
      </c>
      <c r="C2" s="20" t="s">
        <v>2</v>
      </c>
      <c r="D2" s="20" t="s">
        <v>3</v>
      </c>
      <c r="E2" s="20" t="s">
        <v>4</v>
      </c>
      <c r="F2" s="20" t="s">
        <v>5</v>
      </c>
      <c r="G2" s="21" t="s">
        <v>38</v>
      </c>
      <c r="H2" s="20" t="s">
        <v>6</v>
      </c>
      <c r="I2" s="20" t="s">
        <v>41</v>
      </c>
      <c r="J2" s="22" t="s">
        <v>58</v>
      </c>
    </row>
    <row r="3" spans="1:17" ht="16" x14ac:dyDescent="0.4">
      <c r="A3" s="14">
        <v>45667</v>
      </c>
      <c r="B3" s="15" t="s">
        <v>13</v>
      </c>
      <c r="C3" s="15" t="s">
        <v>24</v>
      </c>
      <c r="D3" s="15" t="s">
        <v>28</v>
      </c>
      <c r="E3" s="15">
        <v>4</v>
      </c>
      <c r="F3" s="16">
        <v>50000</v>
      </c>
      <c r="G3" s="17">
        <v>0.12</v>
      </c>
      <c r="H3" s="15" t="s">
        <v>39</v>
      </c>
      <c r="I3" s="23">
        <f>E3*F3*(1-G3)</f>
        <v>176000</v>
      </c>
      <c r="J3" s="18" t="str">
        <f>IF(I3&gt;=50000,"High Value","Normal")</f>
        <v>High Value</v>
      </c>
      <c r="L3" s="8" t="s">
        <v>52</v>
      </c>
      <c r="M3" s="8" t="s">
        <v>41</v>
      </c>
      <c r="O3" s="10" t="s">
        <v>53</v>
      </c>
      <c r="P3" s="10" t="s">
        <v>41</v>
      </c>
      <c r="Q3" s="10" t="s">
        <v>54</v>
      </c>
    </row>
    <row r="4" spans="1:17" ht="16" x14ac:dyDescent="0.4">
      <c r="A4" s="14">
        <v>45726</v>
      </c>
      <c r="B4" s="15" t="s">
        <v>15</v>
      </c>
      <c r="C4" s="15" t="s">
        <v>24</v>
      </c>
      <c r="D4" s="15" t="s">
        <v>29</v>
      </c>
      <c r="E4" s="15">
        <v>1</v>
      </c>
      <c r="F4" s="15">
        <v>25000</v>
      </c>
      <c r="G4" s="17">
        <v>0.11</v>
      </c>
      <c r="H4" s="15" t="s">
        <v>39</v>
      </c>
      <c r="I4" s="23">
        <f t="shared" ref="I4:I19" si="0">E4*F4*(1-G4)</f>
        <v>22250</v>
      </c>
      <c r="J4" s="18" t="str">
        <f t="shared" ref="J4:J19" si="1">IF(I4&gt;=50000,"High Value","Normal")</f>
        <v>Normal</v>
      </c>
      <c r="L4" s="9" t="s">
        <v>37</v>
      </c>
      <c r="M4" s="7">
        <f>SUMIF(D3:D19,"TV",I3:I19)</f>
        <v>67319.999999999985</v>
      </c>
      <c r="O4" s="10" t="s">
        <v>13</v>
      </c>
      <c r="P4" s="4">
        <f>SUMIF($B$3:$B$19, O4, $I$3:$I$19)</f>
        <v>176000</v>
      </c>
      <c r="Q4" s="4"/>
    </row>
    <row r="5" spans="1:17" ht="16" x14ac:dyDescent="0.4">
      <c r="A5" s="14">
        <v>45757</v>
      </c>
      <c r="B5" s="15" t="s">
        <v>16</v>
      </c>
      <c r="C5" s="15" t="s">
        <v>26</v>
      </c>
      <c r="D5" s="15" t="s">
        <v>30</v>
      </c>
      <c r="E5" s="15">
        <v>4</v>
      </c>
      <c r="F5" s="15">
        <v>1000</v>
      </c>
      <c r="G5" s="17">
        <v>0.06</v>
      </c>
      <c r="H5" s="15" t="s">
        <v>39</v>
      </c>
      <c r="I5" s="23">
        <f t="shared" si="0"/>
        <v>3760</v>
      </c>
      <c r="J5" s="18" t="str">
        <f t="shared" si="1"/>
        <v>Normal</v>
      </c>
      <c r="L5" s="9" t="s">
        <v>32</v>
      </c>
      <c r="M5" s="7">
        <f>SUMIF(D3:D19,"Phone",I3:I19)</f>
        <v>99600</v>
      </c>
      <c r="O5" s="10" t="s">
        <v>15</v>
      </c>
      <c r="P5" s="4">
        <f t="shared" ref="P5:P12" si="2">SUMIF($B$3:$B$19, O5, $I$3:$I$19)</f>
        <v>26660</v>
      </c>
      <c r="Q5" s="4"/>
    </row>
    <row r="6" spans="1:17" ht="16" x14ac:dyDescent="0.4">
      <c r="A6" s="14">
        <v>45787</v>
      </c>
      <c r="B6" s="15" t="s">
        <v>17</v>
      </c>
      <c r="C6" s="15" t="s">
        <v>27</v>
      </c>
      <c r="D6" s="15" t="s">
        <v>31</v>
      </c>
      <c r="E6" s="15">
        <v>2</v>
      </c>
      <c r="F6" s="15">
        <v>1500</v>
      </c>
      <c r="G6" s="17">
        <v>0.18</v>
      </c>
      <c r="H6" s="15" t="s">
        <v>39</v>
      </c>
      <c r="I6" s="23">
        <f t="shared" si="0"/>
        <v>2460</v>
      </c>
      <c r="J6" s="18" t="str">
        <f t="shared" si="1"/>
        <v>Normal</v>
      </c>
      <c r="L6" s="9" t="s">
        <v>31</v>
      </c>
      <c r="M6" s="7">
        <f>SUMIF(D3:D19,"Shoes",I3:I19)</f>
        <v>40887</v>
      </c>
      <c r="O6" s="10" t="s">
        <v>16</v>
      </c>
      <c r="P6" s="4">
        <f t="shared" si="2"/>
        <v>37777</v>
      </c>
      <c r="Q6" s="4"/>
    </row>
    <row r="7" spans="1:17" ht="16" x14ac:dyDescent="0.4">
      <c r="A7" s="14">
        <v>45818</v>
      </c>
      <c r="B7" s="15" t="s">
        <v>18</v>
      </c>
      <c r="C7" s="15" t="s">
        <v>26</v>
      </c>
      <c r="D7" s="15" t="s">
        <v>32</v>
      </c>
      <c r="E7" s="15">
        <v>6</v>
      </c>
      <c r="F7" s="15">
        <v>20000</v>
      </c>
      <c r="G7" s="17">
        <v>0.17</v>
      </c>
      <c r="H7" s="15" t="s">
        <v>39</v>
      </c>
      <c r="I7" s="23">
        <f t="shared" si="0"/>
        <v>99600</v>
      </c>
      <c r="J7" s="18" t="str">
        <f t="shared" si="1"/>
        <v>High Value</v>
      </c>
      <c r="L7" s="9" t="s">
        <v>51</v>
      </c>
      <c r="M7" s="7">
        <f>SUMIF(D3:D19,"AC",I3:I19)</f>
        <v>67200</v>
      </c>
      <c r="O7" s="10" t="s">
        <v>17</v>
      </c>
      <c r="P7" s="4">
        <f t="shared" si="2"/>
        <v>130108</v>
      </c>
      <c r="Q7" s="4"/>
    </row>
    <row r="8" spans="1:17" ht="16" x14ac:dyDescent="0.4">
      <c r="A8" s="14">
        <v>45848</v>
      </c>
      <c r="B8" s="15" t="s">
        <v>19</v>
      </c>
      <c r="C8" s="15" t="s">
        <v>24</v>
      </c>
      <c r="D8" s="15" t="s">
        <v>48</v>
      </c>
      <c r="E8" s="15">
        <v>3</v>
      </c>
      <c r="F8" s="15">
        <v>1568</v>
      </c>
      <c r="G8" s="17">
        <v>0.27</v>
      </c>
      <c r="H8" s="15" t="s">
        <v>40</v>
      </c>
      <c r="I8" s="23">
        <f t="shared" si="0"/>
        <v>3433.92</v>
      </c>
      <c r="J8" s="18" t="str">
        <f t="shared" si="1"/>
        <v>Normal</v>
      </c>
      <c r="L8" s="9" t="s">
        <v>48</v>
      </c>
      <c r="M8" s="7">
        <f>SUMIF(D3:D19,"Charger",I3:I19)</f>
        <v>3433.92</v>
      </c>
      <c r="O8" s="10" t="s">
        <v>18</v>
      </c>
      <c r="P8" s="4">
        <f t="shared" si="2"/>
        <v>110160</v>
      </c>
      <c r="Q8" s="4"/>
    </row>
    <row r="9" spans="1:17" ht="16" x14ac:dyDescent="0.4">
      <c r="A9" s="14">
        <v>45879</v>
      </c>
      <c r="B9" s="15" t="s">
        <v>14</v>
      </c>
      <c r="C9" s="15" t="s">
        <v>25</v>
      </c>
      <c r="D9" s="15" t="s">
        <v>33</v>
      </c>
      <c r="E9" s="15">
        <v>6</v>
      </c>
      <c r="F9" s="15">
        <v>800</v>
      </c>
      <c r="G9" s="17">
        <v>0.14000000000000001</v>
      </c>
      <c r="H9" s="15" t="s">
        <v>39</v>
      </c>
      <c r="I9" s="23">
        <f t="shared" si="0"/>
        <v>4128</v>
      </c>
      <c r="J9" s="18" t="str">
        <f t="shared" si="1"/>
        <v>Normal</v>
      </c>
      <c r="L9" s="9" t="s">
        <v>33</v>
      </c>
      <c r="M9" s="7">
        <f>SUMIF(D3:D19,"Earphones",I3:I19)</f>
        <v>4128</v>
      </c>
      <c r="O9" s="10" t="s">
        <v>19</v>
      </c>
      <c r="P9" s="4">
        <f t="shared" si="2"/>
        <v>24377.919999999998</v>
      </c>
      <c r="Q9" s="4"/>
    </row>
    <row r="10" spans="1:17" ht="16" x14ac:dyDescent="0.4">
      <c r="A10" s="14">
        <v>45910</v>
      </c>
      <c r="B10" s="15" t="s">
        <v>20</v>
      </c>
      <c r="C10" s="15" t="s">
        <v>27</v>
      </c>
      <c r="D10" s="15" t="s">
        <v>34</v>
      </c>
      <c r="E10" s="15">
        <v>3</v>
      </c>
      <c r="F10" s="15">
        <v>1200</v>
      </c>
      <c r="G10" s="17">
        <v>0.24</v>
      </c>
      <c r="H10" s="15" t="s">
        <v>39</v>
      </c>
      <c r="I10" s="23">
        <f t="shared" si="0"/>
        <v>2736</v>
      </c>
      <c r="J10" s="18" t="str">
        <f t="shared" si="1"/>
        <v>Normal</v>
      </c>
      <c r="L10" s="9" t="s">
        <v>49</v>
      </c>
      <c r="M10" s="7">
        <f>SUMIF(D3:D19,"Jacket ",I3:I19)</f>
        <v>23680</v>
      </c>
      <c r="O10" s="10" t="s">
        <v>14</v>
      </c>
      <c r="P10" s="4">
        <f t="shared" si="2"/>
        <v>4128</v>
      </c>
      <c r="Q10" s="4"/>
    </row>
    <row r="11" spans="1:17" ht="16" x14ac:dyDescent="0.4">
      <c r="A11" s="14">
        <v>45940</v>
      </c>
      <c r="B11" s="15" t="s">
        <v>15</v>
      </c>
      <c r="C11" s="15" t="s">
        <v>27</v>
      </c>
      <c r="D11" s="15" t="s">
        <v>31</v>
      </c>
      <c r="E11" s="15">
        <v>7</v>
      </c>
      <c r="F11" s="15">
        <v>900</v>
      </c>
      <c r="G11" s="17">
        <v>0.3</v>
      </c>
      <c r="H11" s="15" t="s">
        <v>39</v>
      </c>
      <c r="I11" s="23">
        <f t="shared" si="0"/>
        <v>4410</v>
      </c>
      <c r="J11" s="18" t="str">
        <f t="shared" si="1"/>
        <v>Normal</v>
      </c>
      <c r="L11" s="9" t="s">
        <v>50</v>
      </c>
      <c r="M11" s="7">
        <f>SUMIF(D3:D19,"Shirt ",I3:I19)</f>
        <v>10559.999999999998</v>
      </c>
      <c r="O11" s="10" t="s">
        <v>55</v>
      </c>
      <c r="P11" s="4">
        <f t="shared" si="2"/>
        <v>0</v>
      </c>
      <c r="Q11" s="4"/>
    </row>
    <row r="12" spans="1:17" ht="16" x14ac:dyDescent="0.4">
      <c r="A12" s="14">
        <v>45971</v>
      </c>
      <c r="B12" s="15" t="s">
        <v>19</v>
      </c>
      <c r="C12" s="15" t="s">
        <v>24</v>
      </c>
      <c r="D12" s="15" t="s">
        <v>34</v>
      </c>
      <c r="E12" s="15">
        <v>17</v>
      </c>
      <c r="F12" s="15">
        <v>1600</v>
      </c>
      <c r="G12" s="17">
        <v>0.23</v>
      </c>
      <c r="H12" s="15" t="s">
        <v>39</v>
      </c>
      <c r="I12" s="23">
        <f t="shared" si="0"/>
        <v>20944</v>
      </c>
      <c r="J12" s="18" t="str">
        <f t="shared" si="1"/>
        <v>Normal</v>
      </c>
      <c r="L12" s="9" t="s">
        <v>36</v>
      </c>
      <c r="M12" s="7">
        <f>SUMIF(D3:D19,"Watch",I3:I19)</f>
        <v>17248</v>
      </c>
      <c r="O12" s="10" t="s">
        <v>22</v>
      </c>
      <c r="P12" s="4">
        <f t="shared" si="2"/>
        <v>67319.999999999985</v>
      </c>
      <c r="Q12" s="4"/>
    </row>
    <row r="13" spans="1:17" x14ac:dyDescent="0.35">
      <c r="A13" s="14">
        <v>46001</v>
      </c>
      <c r="B13" s="15" t="s">
        <v>18</v>
      </c>
      <c r="C13" s="15" t="s">
        <v>26</v>
      </c>
      <c r="D13" s="15" t="s">
        <v>35</v>
      </c>
      <c r="E13" s="15">
        <v>16</v>
      </c>
      <c r="F13" s="15">
        <v>1000</v>
      </c>
      <c r="G13" s="17">
        <v>0.34</v>
      </c>
      <c r="H13" s="15" t="s">
        <v>40</v>
      </c>
      <c r="I13" s="23">
        <f t="shared" si="0"/>
        <v>10559.999999999998</v>
      </c>
      <c r="J13" s="18" t="str">
        <f t="shared" si="1"/>
        <v>Normal</v>
      </c>
      <c r="L13" s="9" t="s">
        <v>45</v>
      </c>
      <c r="M13" s="7">
        <f>SUMIF(D3:D19,"Laptop ",I3:I19)</f>
        <v>426800</v>
      </c>
    </row>
    <row r="14" spans="1:17" x14ac:dyDescent="0.35">
      <c r="A14" s="14" t="s">
        <v>7</v>
      </c>
      <c r="B14" s="15" t="s">
        <v>17</v>
      </c>
      <c r="C14" s="15" t="s">
        <v>26</v>
      </c>
      <c r="D14" s="15" t="s">
        <v>36</v>
      </c>
      <c r="E14" s="15">
        <v>14</v>
      </c>
      <c r="F14" s="15">
        <v>1400</v>
      </c>
      <c r="G14" s="17">
        <v>0.12</v>
      </c>
      <c r="H14" s="15" t="s">
        <v>39</v>
      </c>
      <c r="I14" s="23">
        <f t="shared" si="0"/>
        <v>17248</v>
      </c>
      <c r="J14" s="18" t="str">
        <f t="shared" si="1"/>
        <v>Normal</v>
      </c>
      <c r="L14" s="9" t="s">
        <v>47</v>
      </c>
      <c r="M14" s="7">
        <v>3760</v>
      </c>
    </row>
    <row r="15" spans="1:17" x14ac:dyDescent="0.35">
      <c r="A15" s="14" t="s">
        <v>8</v>
      </c>
      <c r="B15" s="15" t="s">
        <v>21</v>
      </c>
      <c r="C15" s="15" t="s">
        <v>24</v>
      </c>
      <c r="D15" s="15" t="s">
        <v>28</v>
      </c>
      <c r="E15" s="15">
        <v>3</v>
      </c>
      <c r="F15" s="15">
        <v>60000</v>
      </c>
      <c r="G15" s="17">
        <v>0.22</v>
      </c>
      <c r="H15" s="15" t="s">
        <v>39</v>
      </c>
      <c r="I15" s="23">
        <f t="shared" si="0"/>
        <v>140400</v>
      </c>
      <c r="J15" s="18" t="str">
        <f t="shared" si="1"/>
        <v>High Value</v>
      </c>
      <c r="L15" s="9" t="s">
        <v>46</v>
      </c>
      <c r="M15" s="7">
        <v>22250</v>
      </c>
    </row>
    <row r="16" spans="1:17" x14ac:dyDescent="0.35">
      <c r="A16" s="14" t="s">
        <v>9</v>
      </c>
      <c r="B16" s="15" t="s">
        <v>22</v>
      </c>
      <c r="C16" s="15" t="s">
        <v>25</v>
      </c>
      <c r="D16" s="15" t="s">
        <v>37</v>
      </c>
      <c r="E16" s="15">
        <v>6</v>
      </c>
      <c r="F16" s="15">
        <v>17000</v>
      </c>
      <c r="G16" s="17">
        <v>0.34</v>
      </c>
      <c r="H16" s="15" t="s">
        <v>40</v>
      </c>
      <c r="I16" s="23">
        <f t="shared" si="0"/>
        <v>67319.999999999985</v>
      </c>
      <c r="J16" s="18" t="str">
        <f t="shared" si="1"/>
        <v>High Value</v>
      </c>
    </row>
    <row r="17" spans="1:10" x14ac:dyDescent="0.35">
      <c r="A17" s="14" t="s">
        <v>10</v>
      </c>
      <c r="B17" s="15" t="s">
        <v>23</v>
      </c>
      <c r="C17" s="15" t="s">
        <v>26</v>
      </c>
      <c r="D17" s="15" t="s">
        <v>51</v>
      </c>
      <c r="E17" s="15">
        <v>2</v>
      </c>
      <c r="F17" s="15">
        <v>35000</v>
      </c>
      <c r="G17" s="17">
        <v>0.04</v>
      </c>
      <c r="H17" s="15" t="s">
        <v>39</v>
      </c>
      <c r="I17" s="23">
        <f t="shared" si="0"/>
        <v>67200</v>
      </c>
      <c r="J17" s="18" t="str">
        <f t="shared" si="1"/>
        <v>High Value</v>
      </c>
    </row>
    <row r="18" spans="1:10" x14ac:dyDescent="0.35">
      <c r="A18" s="14" t="s">
        <v>11</v>
      </c>
      <c r="B18" s="15" t="s">
        <v>16</v>
      </c>
      <c r="C18" s="15" t="s">
        <v>26</v>
      </c>
      <c r="D18" s="15" t="s">
        <v>31</v>
      </c>
      <c r="E18" s="15">
        <v>23</v>
      </c>
      <c r="F18" s="15">
        <v>1700</v>
      </c>
      <c r="G18" s="17">
        <v>0.13</v>
      </c>
      <c r="H18" s="15" t="s">
        <v>39</v>
      </c>
      <c r="I18" s="23">
        <f t="shared" si="0"/>
        <v>34017</v>
      </c>
      <c r="J18" s="18" t="str">
        <f t="shared" si="1"/>
        <v>Normal</v>
      </c>
    </row>
    <row r="19" spans="1:10" x14ac:dyDescent="0.35">
      <c r="A19" s="14" t="s">
        <v>12</v>
      </c>
      <c r="B19" s="15" t="s">
        <v>17</v>
      </c>
      <c r="C19" s="15" t="s">
        <v>27</v>
      </c>
      <c r="D19" s="15" t="s">
        <v>28</v>
      </c>
      <c r="E19" s="15">
        <v>3</v>
      </c>
      <c r="F19" s="15">
        <v>40000</v>
      </c>
      <c r="G19" s="17">
        <v>0.08</v>
      </c>
      <c r="H19" s="15" t="s">
        <v>39</v>
      </c>
      <c r="I19" s="23">
        <f t="shared" si="0"/>
        <v>110400</v>
      </c>
      <c r="J19" s="18" t="str">
        <f t="shared" si="1"/>
        <v>High Value</v>
      </c>
    </row>
    <row r="20" spans="1:10" x14ac:dyDescent="0.35">
      <c r="A20" s="1"/>
    </row>
    <row r="21" spans="1:10" x14ac:dyDescent="0.35">
      <c r="G21" s="5" t="s">
        <v>43</v>
      </c>
      <c r="H21" s="13">
        <f>AVERAGE(G3:G19)</f>
        <v>0.18176470588235297</v>
      </c>
    </row>
    <row r="22" spans="1:10" x14ac:dyDescent="0.35">
      <c r="G22" s="5" t="s">
        <v>44</v>
      </c>
      <c r="H22" s="7">
        <f>COUNTIF(H3:H19,"yes")</f>
        <v>3</v>
      </c>
    </row>
    <row r="23" spans="1:10" x14ac:dyDescent="0.35">
      <c r="G23" s="6" t="s">
        <v>42</v>
      </c>
      <c r="H23" s="7" t="s">
        <v>13</v>
      </c>
    </row>
  </sheetData>
  <mergeCells count="1">
    <mergeCell ref="A1:J1"/>
  </mergeCells>
  <phoneticPr fontId="3" type="noConversion"/>
  <pageMargins left="0.7" right="0.7" top="0.75" bottom="0.75" header="0.3" footer="0.3"/>
  <pageSetup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singh</dc:creator>
  <cp:lastModifiedBy>harsh singh</cp:lastModifiedBy>
  <dcterms:created xsi:type="dcterms:W3CDTF">2025-10-31T05:08:44Z</dcterms:created>
  <dcterms:modified xsi:type="dcterms:W3CDTF">2025-10-31T09:54:41Z</dcterms:modified>
</cp:coreProperties>
</file>