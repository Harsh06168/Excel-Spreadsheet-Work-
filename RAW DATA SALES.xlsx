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0710" windowHeight="4190" activeTab="1"/>
  </bookViews>
  <sheets>
    <sheet name="Sheet6" sheetId="6" r:id="rId1"/>
    <sheet name="Sheet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</calcChain>
</file>

<file path=xl/sharedStrings.xml><?xml version="1.0" encoding="utf-8"?>
<sst xmlns="http://schemas.openxmlformats.org/spreadsheetml/2006/main" count="168" uniqueCount="72">
  <si>
    <t xml:space="preserve">Date </t>
  </si>
  <si>
    <t xml:space="preserve">Product </t>
  </si>
  <si>
    <t xml:space="preserve">Category </t>
  </si>
  <si>
    <t>Region</t>
  </si>
  <si>
    <t>Salesperson</t>
  </si>
  <si>
    <t>Quantity</t>
  </si>
  <si>
    <t>Unit Price</t>
  </si>
  <si>
    <t>14-04-2025</t>
  </si>
  <si>
    <t>17-01-2025</t>
  </si>
  <si>
    <t>20-01-2025</t>
  </si>
  <si>
    <t>21-01-2025</t>
  </si>
  <si>
    <t>23-01-2025</t>
  </si>
  <si>
    <t>26-01-2025</t>
  </si>
  <si>
    <t xml:space="preserve">Laptop </t>
  </si>
  <si>
    <t>North</t>
  </si>
  <si>
    <t>Rohan</t>
  </si>
  <si>
    <t>Earphones</t>
  </si>
  <si>
    <t>South</t>
  </si>
  <si>
    <t>Chair</t>
  </si>
  <si>
    <t>Furniture</t>
  </si>
  <si>
    <t>East</t>
  </si>
  <si>
    <t>Neha</t>
  </si>
  <si>
    <t>Shoes</t>
  </si>
  <si>
    <t>Apparel</t>
  </si>
  <si>
    <t>West</t>
  </si>
  <si>
    <t>Arjun</t>
  </si>
  <si>
    <t>Table</t>
  </si>
  <si>
    <t>Kavita</t>
  </si>
  <si>
    <t xml:space="preserve">Mobile </t>
  </si>
  <si>
    <t>Electronics</t>
  </si>
  <si>
    <t>Rohit</t>
  </si>
  <si>
    <t>Jacket</t>
  </si>
  <si>
    <t>Sneha</t>
  </si>
  <si>
    <t>Headphones</t>
  </si>
  <si>
    <t>Rakesh</t>
  </si>
  <si>
    <t>Sofa</t>
  </si>
  <si>
    <t>Deepak</t>
  </si>
  <si>
    <t xml:space="preserve">Watch </t>
  </si>
  <si>
    <t>Accessories</t>
  </si>
  <si>
    <t>Meena</t>
  </si>
  <si>
    <t>Shirt</t>
  </si>
  <si>
    <t>Mouse</t>
  </si>
  <si>
    <t>Keyboard</t>
  </si>
  <si>
    <t>Jeans</t>
  </si>
  <si>
    <t>Bed</t>
  </si>
  <si>
    <t xml:space="preserve">Priya </t>
  </si>
  <si>
    <t>Power Bank</t>
  </si>
  <si>
    <t>wallet</t>
  </si>
  <si>
    <t>Lamp</t>
  </si>
  <si>
    <t xml:space="preserve">Bag </t>
  </si>
  <si>
    <t>T-shirt</t>
  </si>
  <si>
    <t>Air Conditioner</t>
  </si>
  <si>
    <t>Laptop</t>
  </si>
  <si>
    <t>Isha</t>
  </si>
  <si>
    <t>Watch</t>
  </si>
  <si>
    <t>Mobile</t>
  </si>
  <si>
    <t>14-01-2025</t>
  </si>
  <si>
    <t>18-01-2025</t>
  </si>
  <si>
    <t>28-1-2025</t>
  </si>
  <si>
    <t>15-1-2025</t>
  </si>
  <si>
    <t>30-01-2025</t>
  </si>
  <si>
    <t>29-01-2025</t>
  </si>
  <si>
    <t>16-01-2025</t>
  </si>
  <si>
    <t>13-01-2025</t>
  </si>
  <si>
    <t>19-01-2025</t>
  </si>
  <si>
    <t>Total Price</t>
  </si>
  <si>
    <t>S. No.</t>
  </si>
  <si>
    <t>RAW SALES DATA</t>
  </si>
  <si>
    <t>(blank)</t>
  </si>
  <si>
    <t>Row Labels</t>
  </si>
  <si>
    <t>Grand Total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</si>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</sst>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\-mm\-yyyy;@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20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</a:t>
            </a:r>
            <a:r>
              <a:rPr lang="en-US" b="1" baseline="0"/>
              <a:t>count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1.6223667693712213E-2"/>
          <c:y val="1.5345828250341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>
            <a:solidFill>
              <a:sysClr val="window" lastClr="FFFFFF"/>
            </a:solidFill>
            <a:ln>
              <a:solidFill>
                <a:srgbClr val="5B9BD5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3C-465A-9460-98CF01BAB3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3C-465A-9460-98CF01BAB3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3C-465A-9460-98CF01BAB3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3C-465A-9460-98CF01BAB34D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473C-465A-9460-98CF01BAB34D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73C-465A-9460-98CF01BAB34D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473C-465A-9460-98CF01BAB34D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473C-465A-9460-98CF01BAB34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5B9BD5"/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1"/>
                      <c:pt idx="4">
                        <c:v>(blank)</c:v>
                      </c:pt>
                    </c:strCache>
                  </c16:filteredLitCache>
                </c:ext>
              </c:extLst>
              <c:f/>
              <c:strCache>
                <c:ptCount val="4"/>
                <c:pt idx="0">
                  <c:v>Accessories</c:v>
                </c:pt>
                <c:pt idx="1">
                  <c:v>Apparel</c:v>
                </c:pt>
                <c:pt idx="2">
                  <c:v>Electronics</c:v>
                </c:pt>
                <c:pt idx="3">
                  <c:v>Furniture</c:v>
                </c:pt>
              </c:strCache>
            </c:strRef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4">
                        <c:v>0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F5D05F6E-A05E-4728-AFD3-386EB277150F}">
              <c16:categoryFilterExceptions>
                <c16:categoryFilterException>
                  <c16:uniqueId val="{00000008-EA8A-4C11-A5B4-29F77B8883EA}"/>
                  <c16:bubble3D val="0"/>
                </c16:categoryFilterException>
              </c16:categoryFilterExceptions>
            </c:ext>
            <c:ext xmlns:c16="http://schemas.microsoft.com/office/drawing/2014/chart" uri="{C5897E43-82E2-4C41-B96C-FBF1F857EA46}">
              <c16:datapointuniqueidmap xmlns:c16="http://schemas.microsoft.com/office/drawing/2014/chart">
                <c16:ptentry>
                  <c16:ptidx>4</c16:ptidx>
                  <c16:uniqueID val="{00000008-EA8A-4C11-A5B4-29F77B8883EA}"/>
                </c16:ptentry>
              </c16:datapointuniqueidmap>
            </c:ext>
            <c:ext xmlns:c16="http://schemas.microsoft.com/office/drawing/2014/chart" uri="{C3380CC4-5D6E-409C-BE32-E72D297353CC}">
              <c16:uniqueId val="{0000000A-473C-465A-9460-98CF01BAB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8</c:v>
              </c:pt>
              <c:pt idx="1">
                <c:v>8</c:v>
              </c:pt>
              <c:pt idx="2">
                <c:v>7</c:v>
              </c:pt>
              <c:pt idx="3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C3B7-40DE-95AF-A0A338BD8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68379360"/>
        <c:axId val="1768381024"/>
      </c:barChart>
      <c:catAx>
        <c:axId val="1768379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81024"/>
        <c:crosses val="autoZero"/>
        <c:auto val="1"/>
        <c:lblAlgn val="ctr"/>
        <c:lblOffset val="100"/>
        <c:noMultiLvlLbl val="0"/>
      </c:catAx>
      <c:valAx>
        <c:axId val="176838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7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Salesperson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Arjun</c:v>
              </c:pt>
              <c:pt idx="1">
                <c:v>Rohit</c:v>
              </c:pt>
              <c:pt idx="2">
                <c:v>Meena</c:v>
              </c:pt>
              <c:pt idx="3">
                <c:v>Sneha</c:v>
              </c:pt>
              <c:pt idx="4">
                <c:v>Rohan</c:v>
              </c:pt>
              <c:pt idx="5">
                <c:v>Kavita</c:v>
              </c:pt>
              <c:pt idx="6">
                <c:v>Rakesh</c:v>
              </c:pt>
              <c:pt idx="7">
                <c:v>Deepak</c:v>
              </c:pt>
              <c:pt idx="8">
                <c:v>Isha</c:v>
              </c:pt>
              <c:pt idx="9">
                <c:v>Priya </c:v>
              </c:pt>
              <c:pt idx="10">
                <c:v>Neha</c:v>
              </c:pt>
            </c:strLit>
          </c:cat>
          <c:val>
            <c:numLit>
              <c:formatCode>General</c:formatCode>
              <c:ptCount val="11"/>
              <c:pt idx="0">
                <c:v>4</c:v>
              </c:pt>
              <c:pt idx="1">
                <c:v>3</c:v>
              </c:pt>
              <c:pt idx="2">
                <c:v>3</c:v>
              </c:pt>
              <c:pt idx="3">
                <c:v>3</c:v>
              </c:pt>
              <c:pt idx="4">
                <c:v>3</c:v>
              </c:pt>
              <c:pt idx="5">
                <c:v>3</c:v>
              </c:pt>
              <c:pt idx="6">
                <c:v>3</c:v>
              </c:pt>
              <c:pt idx="7">
                <c:v>3</c:v>
              </c:pt>
              <c:pt idx="8">
                <c:v>2</c:v>
              </c:pt>
              <c:pt idx="9">
                <c:v>2</c:v>
              </c:pt>
              <c:pt idx="1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2953-4213-BF20-CB36E05A3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71499360"/>
        <c:axId val="1771494368"/>
      </c:barChart>
      <c:catAx>
        <c:axId val="177149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94368"/>
        <c:crosses val="autoZero"/>
        <c:auto val="1"/>
        <c:lblAlgn val="ctr"/>
        <c:lblOffset val="100"/>
        <c:noMultiLvlLbl val="0"/>
      </c:catAx>
      <c:valAx>
        <c:axId val="17714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9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DATA SALES.xlsx]Sheet6!PivotTable37</c:name>
    <c:fmtId val="2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9.7122703412073491E-2"/>
          <c:y val="0.26328484981044037"/>
          <c:w val="0.71214632545931755"/>
          <c:h val="0.36425306211723529"/>
        </c:manualLayout>
      </c:layout>
      <c:lineChart>
        <c:grouping val="percent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Sheet6!$A$4:$A$28</c:f>
              <c:strCache>
                <c:ptCount val="24"/>
                <c:pt idx="0">
                  <c:v>13-01-2025</c:v>
                </c:pt>
                <c:pt idx="1">
                  <c:v>14-01-2025</c:v>
                </c:pt>
                <c:pt idx="2">
                  <c:v>14-04-2025</c:v>
                </c:pt>
                <c:pt idx="3">
                  <c:v>15-1-2025</c:v>
                </c:pt>
                <c:pt idx="4">
                  <c:v>16-01-2025</c:v>
                </c:pt>
                <c:pt idx="5">
                  <c:v>17-01-2025</c:v>
                </c:pt>
                <c:pt idx="6">
                  <c:v>18-01-2025</c:v>
                </c:pt>
                <c:pt idx="7">
                  <c:v>19-01-2025</c:v>
                </c:pt>
                <c:pt idx="8">
                  <c:v>20-01-2025</c:v>
                </c:pt>
                <c:pt idx="9">
                  <c:v>21-01-2025</c:v>
                </c:pt>
                <c:pt idx="10">
                  <c:v>23-01-2025</c:v>
                </c:pt>
                <c:pt idx="11">
                  <c:v>26-01-2025</c:v>
                </c:pt>
                <c:pt idx="12">
                  <c:v>28-1-2025</c:v>
                </c:pt>
                <c:pt idx="13">
                  <c:v>29-01-2025</c:v>
                </c:pt>
                <c:pt idx="14">
                  <c:v>30-01-2025</c:v>
                </c:pt>
                <c:pt idx="15">
                  <c:v>2/1/2025</c:v>
                </c:pt>
                <c:pt idx="16">
                  <c:v>3/1/2025</c:v>
                </c:pt>
                <c:pt idx="17">
                  <c:v>5/1/2025</c:v>
                </c:pt>
                <c:pt idx="18">
                  <c:v>6/1/2025</c:v>
                </c:pt>
                <c:pt idx="19">
                  <c:v>7/1/2025</c:v>
                </c:pt>
                <c:pt idx="20">
                  <c:v>8/1/2025</c:v>
                </c:pt>
                <c:pt idx="21">
                  <c:v>10/1/2025</c:v>
                </c:pt>
                <c:pt idx="22">
                  <c:v>12/1/2025</c:v>
                </c:pt>
                <c:pt idx="23">
                  <c:v>(blank)</c:v>
                </c:pt>
              </c:strCache>
            </c:strRef>
          </c:cat>
          <c:val>
            <c:numRef>
              <c:f>Sheet6!$B$4:$B$28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5-439A-98CC-52798D3ED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922976"/>
        <c:axId val="2034924224"/>
      </c:lineChart>
      <c:catAx>
        <c:axId val="203492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24224"/>
        <c:crosses val="autoZero"/>
        <c:auto val="1"/>
        <c:lblAlgn val="ctr"/>
        <c:lblOffset val="100"/>
        <c:noMultiLvlLbl val="0"/>
      </c:catAx>
      <c:valAx>
        <c:axId val="20349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2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73025</xdr:colOff>
      <xdr:row>0</xdr:row>
      <xdr:rowOff>133351</xdr:rowOff>
    </xdr:from>
    <xdr:to>
      <xdr:col>16</xdr:col>
      <xdr:colOff>342900</xdr:colOff>
      <xdr:row>11</xdr:row>
      <xdr:rowOff>88901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79375</xdr:colOff>
      <xdr:row>11</xdr:row>
      <xdr:rowOff>104775</xdr:rowOff>
    </xdr:from>
    <xdr:to>
      <xdr:col>16</xdr:col>
      <xdr:colOff>384175</xdr:colOff>
      <xdr:row>26</xdr:row>
      <xdr:rowOff>85725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375003</xdr:colOff>
      <xdr:row>0</xdr:row>
      <xdr:rowOff>291748</xdr:rowOff>
    </xdr:from>
    <xdr:to>
      <xdr:col>23</xdr:col>
      <xdr:colOff>414514</xdr:colOff>
      <xdr:row>13</xdr:row>
      <xdr:rowOff>35278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349955</xdr:colOff>
      <xdr:row>13</xdr:row>
      <xdr:rowOff>124177</xdr:rowOff>
    </xdr:from>
    <xdr:to>
      <xdr:col>24</xdr:col>
      <xdr:colOff>53622</xdr:colOff>
      <xdr:row>28</xdr:row>
      <xdr:rowOff>89252</xdr:rowOff>
    </xdr:to>
    <xdr:graphicFrame macro="">
      <xdr:nvGraphicFramePr>
        <xdr:cNvPr id="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58.650037268519" createdVersion="6" refreshedVersion="6" minRefreshableVersion="3" recordCount="31">
  <cacheSource type="worksheet">
    <worksheetSource ref="A2:I1048576" sheet="Sheet1"/>
  </cacheSource>
  <cacheFields count="9">
    <cacheField name="S. No." numFmtId="0">
      <sharedItems containsString="0" containsBlank="1" containsNumber="1" containsInteger="1" minValue="1" maxValue="30"/>
    </cacheField>
    <cacheField name="Date " numFmtId="0">
      <sharedItems containsDate="1" containsBlank="1" containsMixedTypes="1" minDate="2025-02-01T00:00:00" maxDate="2025-12-02T00:00:00" count="24">
        <d v="2025-03-01T00:00:00"/>
        <d v="2025-05-01T00:00:00"/>
        <d v="2025-07-01T00:00:00"/>
        <d v="2025-08-01T00:00:00"/>
        <d v="2025-10-01T00:00:00"/>
        <d v="2025-12-01T00:00:00"/>
        <s v="14-04-2025"/>
        <s v="17-01-2025"/>
        <s v="20-01-2025"/>
        <s v="21-01-2025"/>
        <s v="23-01-2025"/>
        <s v="26-01-2025"/>
        <s v="14-01-2025"/>
        <s v="18-01-2025"/>
        <s v="28-1-2025"/>
        <s v="15-1-2025"/>
        <d v="2025-02-01T00:00:00"/>
        <d v="2025-06-01T00:00:00"/>
        <s v="30-01-2025"/>
        <s v="29-01-2025"/>
        <s v="16-01-2025"/>
        <s v="13-01-2025"/>
        <s v="19-01-2025"/>
        <m/>
      </sharedItems>
    </cacheField>
    <cacheField name="Product " numFmtId="0">
      <sharedItems containsBlank="1"/>
    </cacheField>
    <cacheField name="Category " numFmtId="0">
      <sharedItems containsBlank="1"/>
    </cacheField>
    <cacheField name="Region" numFmtId="0">
      <sharedItems containsBlank="1"/>
    </cacheField>
    <cacheField name="Salesperson" numFmtId="0">
      <sharedItems containsBlank="1"/>
    </cacheField>
    <cacheField name="Quantity" numFmtId="0">
      <sharedItems containsString="0" containsBlank="1" containsNumber="1" containsInteger="1" minValue="1" maxValue="12"/>
    </cacheField>
    <cacheField name="Unit Price" numFmtId="0">
      <sharedItems containsString="0" containsBlank="1" containsNumber="1" containsInteger="1" minValue="800" maxValue="52000"/>
    </cacheField>
    <cacheField name="Total Price" numFmtId="0">
      <sharedItems containsString="0" containsBlank="1" containsNumber="1" containsInteger="1" minValue="4800" maxValue="15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n v="1"/>
    <x v="0"/>
    <s v="Laptop "/>
    <s v="Electronics"/>
    <s v="North"/>
    <s v="Rohan"/>
    <n v="3"/>
    <n v="52000"/>
    <n v="156000"/>
  </r>
  <r>
    <n v="2"/>
    <x v="1"/>
    <s v="Earphones"/>
    <s v="Electronics"/>
    <s v="South"/>
    <s v="Priya "/>
    <n v="10"/>
    <n v="1500"/>
    <n v="15000"/>
  </r>
  <r>
    <n v="3"/>
    <x v="2"/>
    <s v="Chair"/>
    <s v="Furniture"/>
    <s v="East"/>
    <s v="Neha"/>
    <n v="8"/>
    <n v="2200"/>
    <n v="17600"/>
  </r>
  <r>
    <n v="4"/>
    <x v="3"/>
    <s v="Shoes"/>
    <s v="Apparel"/>
    <s v="West"/>
    <s v="Arjun"/>
    <n v="6"/>
    <n v="2500"/>
    <n v="15000"/>
  </r>
  <r>
    <n v="5"/>
    <x v="4"/>
    <s v="Table"/>
    <s v="Furniture"/>
    <s v="North"/>
    <s v="Kavita"/>
    <n v="4"/>
    <n v="3500"/>
    <n v="14000"/>
  </r>
  <r>
    <n v="6"/>
    <x v="5"/>
    <s v="Mobile "/>
    <s v="Electronics"/>
    <s v="East"/>
    <s v="Rohit"/>
    <n v="5"/>
    <n v="30000"/>
    <n v="150000"/>
  </r>
  <r>
    <n v="7"/>
    <x v="6"/>
    <s v="Jacket"/>
    <s v="Apparel"/>
    <s v="South"/>
    <s v="Sneha"/>
    <n v="7"/>
    <n v="1800"/>
    <n v="12600"/>
  </r>
  <r>
    <n v="8"/>
    <x v="7"/>
    <s v="Headphones"/>
    <s v="Electronics"/>
    <s v="West"/>
    <s v="Rakesh"/>
    <n v="3"/>
    <n v="3200"/>
    <n v="9600"/>
  </r>
  <r>
    <n v="9"/>
    <x v="8"/>
    <s v="Sofa"/>
    <s v="Furniture"/>
    <s v="East"/>
    <s v="Deepak"/>
    <n v="2"/>
    <n v="21000"/>
    <n v="42000"/>
  </r>
  <r>
    <n v="10"/>
    <x v="9"/>
    <s v="Watch "/>
    <s v="Accessories"/>
    <s v="North"/>
    <s v="Meena"/>
    <n v="4"/>
    <n v="5000"/>
    <n v="20000"/>
  </r>
  <r>
    <n v="11"/>
    <x v="10"/>
    <s v="Shirt"/>
    <s v="Apparel"/>
    <s v="South"/>
    <s v="Isha"/>
    <n v="9"/>
    <n v="1200"/>
    <n v="10800"/>
  </r>
  <r>
    <n v="12"/>
    <x v="11"/>
    <s v="Mouse"/>
    <s v="Electronics"/>
    <s v="West"/>
    <s v="Arjun"/>
    <n v="6"/>
    <n v="800"/>
    <n v="4800"/>
  </r>
  <r>
    <n v="13"/>
    <x v="12"/>
    <s v="Keyboard"/>
    <s v="Electronics"/>
    <s v="East"/>
    <s v="Rohan"/>
    <n v="4"/>
    <n v="1500"/>
    <n v="6000"/>
  </r>
  <r>
    <n v="14"/>
    <x v="13"/>
    <s v="Jeans"/>
    <s v="Apparel"/>
    <s v="North"/>
    <s v="Kavita"/>
    <n v="5"/>
    <n v="2000"/>
    <n v="10000"/>
  </r>
  <r>
    <n v="15"/>
    <x v="1"/>
    <s v="Bed"/>
    <s v="Furniture"/>
    <s v="South"/>
    <s v="Priya "/>
    <n v="1"/>
    <n v="38000"/>
    <n v="38000"/>
  </r>
  <r>
    <n v="16"/>
    <x v="14"/>
    <s v="Power Bank"/>
    <s v="Electronics"/>
    <s v="North"/>
    <s v="Rakesh"/>
    <n v="8"/>
    <n v="1200"/>
    <n v="9600"/>
  </r>
  <r>
    <n v="17"/>
    <x v="15"/>
    <s v="wallet"/>
    <s v="Accessories"/>
    <s v="West"/>
    <s v="Sneha"/>
    <n v="6"/>
    <n v="900"/>
    <n v="5400"/>
  </r>
  <r>
    <n v="18"/>
    <x v="16"/>
    <s v="Air Conditioner"/>
    <s v="Electronics"/>
    <s v="East"/>
    <s v="Deepak"/>
    <n v="2"/>
    <n v="42000"/>
    <n v="84000"/>
  </r>
  <r>
    <n v="19"/>
    <x v="17"/>
    <s v="Shoes"/>
    <s v="Apparel"/>
    <s v="South"/>
    <s v="Rohit"/>
    <n v="10"/>
    <n v="2500"/>
    <n v="25000"/>
  </r>
  <r>
    <n v="20"/>
    <x v="13"/>
    <s v="Lamp"/>
    <s v="Furniture"/>
    <s v="West"/>
    <s v="Meena"/>
    <n v="5"/>
    <n v="1500"/>
    <n v="7500"/>
  </r>
  <r>
    <n v="21"/>
    <x v="18"/>
    <s v="Bag "/>
    <s v="Accessories"/>
    <s v="North"/>
    <s v="Arjun"/>
    <n v="9"/>
    <n v="1100"/>
    <n v="9900"/>
  </r>
  <r>
    <n v="22"/>
    <x v="19"/>
    <s v="T-shirt"/>
    <s v="Apparel"/>
    <s v="East"/>
    <s v="Rohan"/>
    <n v="8"/>
    <n v="800"/>
    <n v="6400"/>
  </r>
  <r>
    <n v="23"/>
    <x v="16"/>
    <s v="Sofa"/>
    <s v="Furniture"/>
    <s v="South"/>
    <s v="Sneha"/>
    <n v="3"/>
    <n v="21000"/>
    <n v="63000"/>
  </r>
  <r>
    <n v="24"/>
    <x v="0"/>
    <s v="Laptop"/>
    <s v="Electronics"/>
    <s v="West"/>
    <s v="Deepak"/>
    <n v="2"/>
    <n v="52000"/>
    <n v="104000"/>
  </r>
  <r>
    <n v="25"/>
    <x v="20"/>
    <s v="Jeans"/>
    <s v="Apparel"/>
    <s v="East"/>
    <s v="Isha"/>
    <n v="7"/>
    <n v="2000"/>
    <n v="14000"/>
  </r>
  <r>
    <n v="26"/>
    <x v="21"/>
    <s v="Chair"/>
    <s v="Furniture"/>
    <s v="North"/>
    <s v="Rakesh"/>
    <n v="5"/>
    <n v="2200"/>
    <n v="11000"/>
  </r>
  <r>
    <n v="27"/>
    <x v="7"/>
    <s v="Watch"/>
    <s v="Accessories"/>
    <s v="South"/>
    <s v="Kavita"/>
    <n v="6"/>
    <n v="5000"/>
    <n v="30000"/>
  </r>
  <r>
    <n v="28"/>
    <x v="20"/>
    <s v="Earphones"/>
    <s v="Electronics"/>
    <s v="East"/>
    <s v="Arjun"/>
    <n v="12"/>
    <n v="1500"/>
    <n v="18000"/>
  </r>
  <r>
    <n v="29"/>
    <x v="20"/>
    <s v="Shoes"/>
    <s v="Apparel"/>
    <s v="West"/>
    <s v="Meena"/>
    <n v="4"/>
    <n v="2500"/>
    <n v="10000"/>
  </r>
  <r>
    <n v="30"/>
    <x v="22"/>
    <s v="Mobile"/>
    <s v="Electronics"/>
    <s v="North"/>
    <s v="Rohit"/>
    <n v="3"/>
    <n v="30000"/>
    <n v="90000"/>
  </r>
  <r>
    <m/>
    <x v="2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A3:B28" firstHeaderRow="1" firstDataRow="1" firstDataCol="1"/>
  <pivotFields count="9">
    <pivotField showAll="0"/>
    <pivotField axis="axisRow" showAll="0">
      <items count="25">
        <item x="21"/>
        <item x="12"/>
        <item x="6"/>
        <item x="15"/>
        <item x="20"/>
        <item x="7"/>
        <item x="13"/>
        <item x="22"/>
        <item x="8"/>
        <item x="9"/>
        <item x="10"/>
        <item x="11"/>
        <item x="14"/>
        <item x="19"/>
        <item x="18"/>
        <item x="16"/>
        <item x="0"/>
        <item x="1"/>
        <item x="17"/>
        <item x="2"/>
        <item x="3"/>
        <item x="4"/>
        <item x="5"/>
        <item x="2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Quantity" fld="6" subtotal="count" baseField="0" baseItem="0"/>
  </dataFields>
  <chartFormats count="1"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workbookViewId="0">
      <selection activeCell="Z17" sqref="S12:Z17"/>
    </sheetView>
  </sheetViews>
  <sheetFormatPr defaultRowHeight="14.5" x14ac:dyDescent="0.35"/>
  <cols>
    <col min="1" max="1" width="12.36328125" bestFit="1" customWidth="1"/>
    <col min="2" max="2" width="16" bestFit="1" customWidth="1"/>
  </cols>
  <sheetData>
    <row r="3" spans="1:2" x14ac:dyDescent="0.35">
      <c r="A3" s="5" t="s">
        <v>69</v>
      </c>
      <c r="B3" t="s">
        <v>71</v>
      </c>
    </row>
    <row r="4" spans="1:2" x14ac:dyDescent="0.35">
      <c r="A4" s="7" t="s">
        <v>63</v>
      </c>
      <c r="B4" s="6">
        <v>1</v>
      </c>
    </row>
    <row r="5" spans="1:2" x14ac:dyDescent="0.35">
      <c r="A5" s="7" t="s">
        <v>56</v>
      </c>
      <c r="B5" s="6">
        <v>1</v>
      </c>
    </row>
    <row r="6" spans="1:2" x14ac:dyDescent="0.35">
      <c r="A6" s="7" t="s">
        <v>7</v>
      </c>
      <c r="B6" s="6">
        <v>1</v>
      </c>
    </row>
    <row r="7" spans="1:2" x14ac:dyDescent="0.35">
      <c r="A7" s="7" t="s">
        <v>59</v>
      </c>
      <c r="B7" s="6">
        <v>1</v>
      </c>
    </row>
    <row r="8" spans="1:2" x14ac:dyDescent="0.35">
      <c r="A8" s="7" t="s">
        <v>62</v>
      </c>
      <c r="B8" s="6">
        <v>3</v>
      </c>
    </row>
    <row r="9" spans="1:2" x14ac:dyDescent="0.35">
      <c r="A9" s="7" t="s">
        <v>8</v>
      </c>
      <c r="B9" s="6">
        <v>2</v>
      </c>
    </row>
    <row r="10" spans="1:2" x14ac:dyDescent="0.35">
      <c r="A10" s="7" t="s">
        <v>57</v>
      </c>
      <c r="B10" s="6">
        <v>2</v>
      </c>
    </row>
    <row r="11" spans="1:2" x14ac:dyDescent="0.35">
      <c r="A11" s="7" t="s">
        <v>64</v>
      </c>
      <c r="B11" s="6">
        <v>1</v>
      </c>
    </row>
    <row r="12" spans="1:2" x14ac:dyDescent="0.35">
      <c r="A12" s="7" t="s">
        <v>9</v>
      </c>
      <c r="B12" s="6">
        <v>1</v>
      </c>
    </row>
    <row r="13" spans="1:2" x14ac:dyDescent="0.35">
      <c r="A13" s="7" t="s">
        <v>10</v>
      </c>
      <c r="B13" s="6">
        <v>1</v>
      </c>
    </row>
    <row r="14" spans="1:2" x14ac:dyDescent="0.35">
      <c r="A14" s="7" t="s">
        <v>11</v>
      </c>
      <c r="B14" s="6">
        <v>1</v>
      </c>
    </row>
    <row r="15" spans="1:2" x14ac:dyDescent="0.35">
      <c r="A15" s="7" t="s">
        <v>12</v>
      </c>
      <c r="B15" s="6">
        <v>1</v>
      </c>
    </row>
    <row r="16" spans="1:2" x14ac:dyDescent="0.35">
      <c r="A16" s="7" t="s">
        <v>58</v>
      </c>
      <c r="B16" s="6">
        <v>1</v>
      </c>
    </row>
    <row r="17" spans="1:2" x14ac:dyDescent="0.35">
      <c r="A17" s="7" t="s">
        <v>61</v>
      </c>
      <c r="B17" s="6">
        <v>1</v>
      </c>
    </row>
    <row r="18" spans="1:2" x14ac:dyDescent="0.35">
      <c r="A18" s="7" t="s">
        <v>60</v>
      </c>
      <c r="B18" s="6">
        <v>1</v>
      </c>
    </row>
    <row r="19" spans="1:2" x14ac:dyDescent="0.35">
      <c r="A19" s="8">
        <v>45689</v>
      </c>
      <c r="B19" s="6">
        <v>2</v>
      </c>
    </row>
    <row r="20" spans="1:2" x14ac:dyDescent="0.35">
      <c r="A20" s="8">
        <v>45717</v>
      </c>
      <c r="B20" s="6">
        <v>2</v>
      </c>
    </row>
    <row r="21" spans="1:2" x14ac:dyDescent="0.35">
      <c r="A21" s="8">
        <v>45778</v>
      </c>
      <c r="B21" s="6">
        <v>2</v>
      </c>
    </row>
    <row r="22" spans="1:2" x14ac:dyDescent="0.35">
      <c r="A22" s="8">
        <v>45809</v>
      </c>
      <c r="B22" s="6">
        <v>1</v>
      </c>
    </row>
    <row r="23" spans="1:2" x14ac:dyDescent="0.35">
      <c r="A23" s="8">
        <v>45839</v>
      </c>
      <c r="B23" s="6">
        <v>1</v>
      </c>
    </row>
    <row r="24" spans="1:2" x14ac:dyDescent="0.35">
      <c r="A24" s="8">
        <v>45870</v>
      </c>
      <c r="B24" s="6">
        <v>1</v>
      </c>
    </row>
    <row r="25" spans="1:2" x14ac:dyDescent="0.35">
      <c r="A25" s="8">
        <v>45931</v>
      </c>
      <c r="B25" s="6">
        <v>1</v>
      </c>
    </row>
    <row r="26" spans="1:2" x14ac:dyDescent="0.35">
      <c r="A26" s="8">
        <v>45992</v>
      </c>
      <c r="B26" s="6">
        <v>1</v>
      </c>
    </row>
    <row r="27" spans="1:2" x14ac:dyDescent="0.35">
      <c r="A27" s="7" t="s">
        <v>68</v>
      </c>
      <c r="B27" s="6"/>
    </row>
    <row r="28" spans="1:2" x14ac:dyDescent="0.35">
      <c r="A28" s="7" t="s">
        <v>70</v>
      </c>
      <c r="B28" s="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showGridLines="0" tabSelected="1" topLeftCell="A3" zoomScale="72" zoomScaleNormal="72" workbookViewId="0">
      <selection activeCell="F9" sqref="F9"/>
    </sheetView>
  </sheetViews>
  <sheetFormatPr defaultRowHeight="14.5" x14ac:dyDescent="0.35"/>
  <cols>
    <col min="1" max="3" width="11.7265625" customWidth="1"/>
    <col min="4" max="4" width="11.7265625" style="1" customWidth="1"/>
    <col min="5" max="9" width="11.7265625" customWidth="1"/>
  </cols>
  <sheetData>
    <row r="1" spans="1:9" ht="30.5" x14ac:dyDescent="0.85">
      <c r="A1" s="9" t="s">
        <v>67</v>
      </c>
      <c r="B1" s="9"/>
      <c r="C1" s="9"/>
      <c r="D1" s="9"/>
      <c r="E1" s="9"/>
      <c r="F1" s="9"/>
      <c r="G1" s="9"/>
      <c r="H1" s="9"/>
      <c r="I1" s="9"/>
    </row>
    <row r="2" spans="1:9" ht="15.5" x14ac:dyDescent="0.35">
      <c r="A2" s="2" t="s">
        <v>66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65</v>
      </c>
    </row>
    <row r="3" spans="1:9" x14ac:dyDescent="0.35">
      <c r="A3" s="3">
        <v>1</v>
      </c>
      <c r="B3" s="4">
        <v>45717</v>
      </c>
      <c r="C3" s="3" t="s">
        <v>13</v>
      </c>
      <c r="D3" s="3" t="s">
        <v>29</v>
      </c>
      <c r="E3" s="3" t="s">
        <v>14</v>
      </c>
      <c r="F3" s="3" t="s">
        <v>15</v>
      </c>
      <c r="G3" s="3">
        <v>3</v>
      </c>
      <c r="H3" s="3">
        <v>52000</v>
      </c>
      <c r="I3" s="3">
        <f>(G3)*(H3)</f>
        <v>156000</v>
      </c>
    </row>
    <row r="4" spans="1:9" x14ac:dyDescent="0.35">
      <c r="A4" s="3">
        <v>2</v>
      </c>
      <c r="B4" s="4">
        <v>45778</v>
      </c>
      <c r="C4" s="3" t="s">
        <v>16</v>
      </c>
      <c r="D4" s="3" t="s">
        <v>29</v>
      </c>
      <c r="E4" s="3" t="s">
        <v>17</v>
      </c>
      <c r="F4" s="3" t="s">
        <v>45</v>
      </c>
      <c r="G4" s="3">
        <v>10</v>
      </c>
      <c r="H4" s="3">
        <v>1500</v>
      </c>
      <c r="I4" s="3">
        <f t="shared" ref="I4:I32" si="0">(G4)*(H4)</f>
        <v>15000</v>
      </c>
    </row>
    <row r="5" spans="1:9" x14ac:dyDescent="0.35">
      <c r="A5" s="3">
        <v>3</v>
      </c>
      <c r="B5" s="4">
        <v>45839</v>
      </c>
      <c r="C5" s="3" t="s">
        <v>18</v>
      </c>
      <c r="D5" s="3" t="s">
        <v>19</v>
      </c>
      <c r="E5" s="3" t="s">
        <v>20</v>
      </c>
      <c r="F5" s="3" t="s">
        <v>21</v>
      </c>
      <c r="G5" s="3">
        <v>8</v>
      </c>
      <c r="H5" s="3">
        <v>2200</v>
      </c>
      <c r="I5" s="3">
        <f t="shared" si="0"/>
        <v>17600</v>
      </c>
    </row>
    <row r="6" spans="1:9" x14ac:dyDescent="0.35">
      <c r="A6" s="3">
        <v>4</v>
      </c>
      <c r="B6" s="4">
        <v>45870</v>
      </c>
      <c r="C6" s="3" t="s">
        <v>22</v>
      </c>
      <c r="D6" s="3" t="s">
        <v>23</v>
      </c>
      <c r="E6" s="3" t="s">
        <v>24</v>
      </c>
      <c r="F6" s="3" t="s">
        <v>25</v>
      </c>
      <c r="G6" s="3">
        <v>6</v>
      </c>
      <c r="H6" s="3">
        <v>2500</v>
      </c>
      <c r="I6" s="3">
        <f t="shared" si="0"/>
        <v>15000</v>
      </c>
    </row>
    <row r="7" spans="1:9" x14ac:dyDescent="0.35">
      <c r="A7" s="3">
        <v>5</v>
      </c>
      <c r="B7" s="4">
        <v>45931</v>
      </c>
      <c r="C7" s="3" t="s">
        <v>26</v>
      </c>
      <c r="D7" s="3" t="s">
        <v>19</v>
      </c>
      <c r="E7" s="3" t="s">
        <v>14</v>
      </c>
      <c r="F7" s="3" t="s">
        <v>27</v>
      </c>
      <c r="G7" s="3">
        <v>4</v>
      </c>
      <c r="H7" s="3">
        <v>3500</v>
      </c>
      <c r="I7" s="3">
        <f t="shared" si="0"/>
        <v>14000</v>
      </c>
    </row>
    <row r="8" spans="1:9" x14ac:dyDescent="0.35">
      <c r="A8" s="3">
        <v>6</v>
      </c>
      <c r="B8" s="4">
        <v>45992</v>
      </c>
      <c r="C8" s="3" t="s">
        <v>28</v>
      </c>
      <c r="D8" s="3" t="s">
        <v>29</v>
      </c>
      <c r="E8" s="3" t="s">
        <v>20</v>
      </c>
      <c r="F8" s="3" t="s">
        <v>30</v>
      </c>
      <c r="G8" s="3">
        <v>5</v>
      </c>
      <c r="H8" s="3">
        <v>30000</v>
      </c>
      <c r="I8" s="3">
        <f t="shared" si="0"/>
        <v>150000</v>
      </c>
    </row>
    <row r="9" spans="1:9" x14ac:dyDescent="0.35">
      <c r="A9" s="3">
        <v>7</v>
      </c>
      <c r="B9" s="4" t="s">
        <v>7</v>
      </c>
      <c r="C9" s="3" t="s">
        <v>31</v>
      </c>
      <c r="D9" s="3" t="s">
        <v>23</v>
      </c>
      <c r="E9" s="3" t="s">
        <v>17</v>
      </c>
      <c r="F9" s="3" t="s">
        <v>32</v>
      </c>
      <c r="G9" s="3">
        <v>7</v>
      </c>
      <c r="H9" s="3">
        <v>1800</v>
      </c>
      <c r="I9" s="3">
        <f t="shared" si="0"/>
        <v>12600</v>
      </c>
    </row>
    <row r="10" spans="1:9" x14ac:dyDescent="0.35">
      <c r="A10" s="3">
        <v>8</v>
      </c>
      <c r="B10" s="4" t="s">
        <v>8</v>
      </c>
      <c r="C10" s="3" t="s">
        <v>33</v>
      </c>
      <c r="D10" s="3" t="s">
        <v>29</v>
      </c>
      <c r="E10" s="3" t="s">
        <v>24</v>
      </c>
      <c r="F10" s="3" t="s">
        <v>34</v>
      </c>
      <c r="G10" s="3">
        <v>3</v>
      </c>
      <c r="H10" s="3">
        <v>3200</v>
      </c>
      <c r="I10" s="3">
        <f t="shared" si="0"/>
        <v>9600</v>
      </c>
    </row>
    <row r="11" spans="1:9" x14ac:dyDescent="0.35">
      <c r="A11" s="3">
        <v>9</v>
      </c>
      <c r="B11" s="4" t="s">
        <v>9</v>
      </c>
      <c r="C11" s="3" t="s">
        <v>35</v>
      </c>
      <c r="D11" s="3" t="s">
        <v>19</v>
      </c>
      <c r="E11" s="3" t="s">
        <v>20</v>
      </c>
      <c r="F11" s="3" t="s">
        <v>36</v>
      </c>
      <c r="G11" s="3">
        <v>2</v>
      </c>
      <c r="H11" s="3">
        <v>21000</v>
      </c>
      <c r="I11" s="3">
        <f t="shared" si="0"/>
        <v>42000</v>
      </c>
    </row>
    <row r="12" spans="1:9" x14ac:dyDescent="0.35">
      <c r="A12" s="3">
        <v>10</v>
      </c>
      <c r="B12" s="4" t="s">
        <v>10</v>
      </c>
      <c r="C12" s="3" t="s">
        <v>37</v>
      </c>
      <c r="D12" s="3" t="s">
        <v>38</v>
      </c>
      <c r="E12" s="3" t="s">
        <v>14</v>
      </c>
      <c r="F12" s="3" t="s">
        <v>39</v>
      </c>
      <c r="G12" s="3">
        <v>4</v>
      </c>
      <c r="H12" s="3">
        <v>5000</v>
      </c>
      <c r="I12" s="3">
        <f t="shared" si="0"/>
        <v>20000</v>
      </c>
    </row>
    <row r="13" spans="1:9" x14ac:dyDescent="0.35">
      <c r="A13" s="3">
        <v>11</v>
      </c>
      <c r="B13" s="4" t="s">
        <v>11</v>
      </c>
      <c r="C13" s="3" t="s">
        <v>40</v>
      </c>
      <c r="D13" s="3" t="s">
        <v>23</v>
      </c>
      <c r="E13" s="3" t="s">
        <v>17</v>
      </c>
      <c r="F13" s="3" t="s">
        <v>53</v>
      </c>
      <c r="G13" s="3">
        <v>9</v>
      </c>
      <c r="H13" s="3">
        <v>1200</v>
      </c>
      <c r="I13" s="3">
        <f t="shared" si="0"/>
        <v>10800</v>
      </c>
    </row>
    <row r="14" spans="1:9" x14ac:dyDescent="0.35">
      <c r="A14" s="3">
        <v>12</v>
      </c>
      <c r="B14" s="4" t="s">
        <v>12</v>
      </c>
      <c r="C14" s="3" t="s">
        <v>41</v>
      </c>
      <c r="D14" s="3" t="s">
        <v>29</v>
      </c>
      <c r="E14" s="3" t="s">
        <v>24</v>
      </c>
      <c r="F14" s="3" t="s">
        <v>25</v>
      </c>
      <c r="G14" s="3">
        <v>6</v>
      </c>
      <c r="H14" s="3">
        <v>800</v>
      </c>
      <c r="I14" s="3">
        <f t="shared" si="0"/>
        <v>4800</v>
      </c>
    </row>
    <row r="15" spans="1:9" x14ac:dyDescent="0.35">
      <c r="A15" s="3">
        <v>13</v>
      </c>
      <c r="B15" s="4" t="s">
        <v>56</v>
      </c>
      <c r="C15" s="3" t="s">
        <v>42</v>
      </c>
      <c r="D15" s="3" t="s">
        <v>29</v>
      </c>
      <c r="E15" s="3" t="s">
        <v>20</v>
      </c>
      <c r="F15" s="3" t="s">
        <v>15</v>
      </c>
      <c r="G15" s="3">
        <v>4</v>
      </c>
      <c r="H15" s="3">
        <v>1500</v>
      </c>
      <c r="I15" s="3">
        <f t="shared" si="0"/>
        <v>6000</v>
      </c>
    </row>
    <row r="16" spans="1:9" x14ac:dyDescent="0.35">
      <c r="A16" s="3">
        <v>14</v>
      </c>
      <c r="B16" s="4" t="s">
        <v>57</v>
      </c>
      <c r="C16" s="3" t="s">
        <v>43</v>
      </c>
      <c r="D16" s="3" t="s">
        <v>23</v>
      </c>
      <c r="E16" s="3" t="s">
        <v>14</v>
      </c>
      <c r="F16" s="3" t="s">
        <v>27</v>
      </c>
      <c r="G16" s="3">
        <v>5</v>
      </c>
      <c r="H16" s="3">
        <v>2000</v>
      </c>
      <c r="I16" s="3">
        <f t="shared" si="0"/>
        <v>10000</v>
      </c>
    </row>
    <row r="17" spans="1:9" x14ac:dyDescent="0.35">
      <c r="A17" s="3">
        <v>15</v>
      </c>
      <c r="B17" s="4">
        <v>45778</v>
      </c>
      <c r="C17" s="3" t="s">
        <v>44</v>
      </c>
      <c r="D17" s="3" t="s">
        <v>19</v>
      </c>
      <c r="E17" s="3" t="s">
        <v>17</v>
      </c>
      <c r="F17" s="3" t="s">
        <v>45</v>
      </c>
      <c r="G17" s="3">
        <v>1</v>
      </c>
      <c r="H17" s="3">
        <v>38000</v>
      </c>
      <c r="I17" s="3">
        <f t="shared" si="0"/>
        <v>38000</v>
      </c>
    </row>
    <row r="18" spans="1:9" x14ac:dyDescent="0.35">
      <c r="A18" s="3">
        <v>16</v>
      </c>
      <c r="B18" s="4" t="s">
        <v>58</v>
      </c>
      <c r="C18" s="3" t="s">
        <v>46</v>
      </c>
      <c r="D18" s="3" t="s">
        <v>29</v>
      </c>
      <c r="E18" s="3" t="s">
        <v>14</v>
      </c>
      <c r="F18" s="3" t="s">
        <v>34</v>
      </c>
      <c r="G18" s="3">
        <v>8</v>
      </c>
      <c r="H18" s="3">
        <v>1200</v>
      </c>
      <c r="I18" s="3">
        <f t="shared" si="0"/>
        <v>9600</v>
      </c>
    </row>
    <row r="19" spans="1:9" x14ac:dyDescent="0.35">
      <c r="A19" s="3">
        <v>17</v>
      </c>
      <c r="B19" s="4" t="s">
        <v>59</v>
      </c>
      <c r="C19" s="3" t="s">
        <v>47</v>
      </c>
      <c r="D19" s="3" t="s">
        <v>38</v>
      </c>
      <c r="E19" s="3" t="s">
        <v>24</v>
      </c>
      <c r="F19" s="3" t="s">
        <v>32</v>
      </c>
      <c r="G19" s="3">
        <v>6</v>
      </c>
      <c r="H19" s="3">
        <v>900</v>
      </c>
      <c r="I19" s="3">
        <f t="shared" si="0"/>
        <v>5400</v>
      </c>
    </row>
    <row r="20" spans="1:9" x14ac:dyDescent="0.35">
      <c r="A20" s="3">
        <v>18</v>
      </c>
      <c r="B20" s="4">
        <v>45689</v>
      </c>
      <c r="C20" s="3" t="s">
        <v>51</v>
      </c>
      <c r="D20" s="3" t="s">
        <v>29</v>
      </c>
      <c r="E20" s="3" t="s">
        <v>20</v>
      </c>
      <c r="F20" s="3" t="s">
        <v>36</v>
      </c>
      <c r="G20" s="3">
        <v>2</v>
      </c>
      <c r="H20" s="3">
        <v>42000</v>
      </c>
      <c r="I20" s="3">
        <f t="shared" si="0"/>
        <v>84000</v>
      </c>
    </row>
    <row r="21" spans="1:9" x14ac:dyDescent="0.35">
      <c r="A21" s="3">
        <v>19</v>
      </c>
      <c r="B21" s="4">
        <v>45809</v>
      </c>
      <c r="C21" s="3" t="s">
        <v>22</v>
      </c>
      <c r="D21" s="3" t="s">
        <v>23</v>
      </c>
      <c r="E21" s="3" t="s">
        <v>17</v>
      </c>
      <c r="F21" s="3" t="s">
        <v>30</v>
      </c>
      <c r="G21" s="3">
        <v>10</v>
      </c>
      <c r="H21" s="3">
        <v>2500</v>
      </c>
      <c r="I21" s="3">
        <f t="shared" si="0"/>
        <v>25000</v>
      </c>
    </row>
    <row r="22" spans="1:9" x14ac:dyDescent="0.35">
      <c r="A22" s="3">
        <v>20</v>
      </c>
      <c r="B22" s="4" t="s">
        <v>57</v>
      </c>
      <c r="C22" s="3" t="s">
        <v>48</v>
      </c>
      <c r="D22" s="3" t="s">
        <v>19</v>
      </c>
      <c r="E22" s="3" t="s">
        <v>24</v>
      </c>
      <c r="F22" s="3" t="s">
        <v>39</v>
      </c>
      <c r="G22" s="3">
        <v>5</v>
      </c>
      <c r="H22" s="3">
        <v>1500</v>
      </c>
      <c r="I22" s="3">
        <f t="shared" si="0"/>
        <v>7500</v>
      </c>
    </row>
    <row r="23" spans="1:9" x14ac:dyDescent="0.35">
      <c r="A23" s="3">
        <v>21</v>
      </c>
      <c r="B23" s="4" t="s">
        <v>60</v>
      </c>
      <c r="C23" s="3" t="s">
        <v>49</v>
      </c>
      <c r="D23" s="3" t="s">
        <v>38</v>
      </c>
      <c r="E23" s="3" t="s">
        <v>14</v>
      </c>
      <c r="F23" s="3" t="s">
        <v>25</v>
      </c>
      <c r="G23" s="3">
        <v>9</v>
      </c>
      <c r="H23" s="3">
        <v>1100</v>
      </c>
      <c r="I23" s="3">
        <f t="shared" si="0"/>
        <v>9900</v>
      </c>
    </row>
    <row r="24" spans="1:9" x14ac:dyDescent="0.35">
      <c r="A24" s="3">
        <v>22</v>
      </c>
      <c r="B24" s="4" t="s">
        <v>61</v>
      </c>
      <c r="C24" s="3" t="s">
        <v>50</v>
      </c>
      <c r="D24" s="3" t="s">
        <v>23</v>
      </c>
      <c r="E24" s="3" t="s">
        <v>20</v>
      </c>
      <c r="F24" s="3" t="s">
        <v>15</v>
      </c>
      <c r="G24" s="3">
        <v>8</v>
      </c>
      <c r="H24" s="3">
        <v>800</v>
      </c>
      <c r="I24" s="3">
        <f t="shared" si="0"/>
        <v>6400</v>
      </c>
    </row>
    <row r="25" spans="1:9" x14ac:dyDescent="0.35">
      <c r="A25" s="3">
        <v>23</v>
      </c>
      <c r="B25" s="4">
        <v>45689</v>
      </c>
      <c r="C25" s="3" t="s">
        <v>35</v>
      </c>
      <c r="D25" s="3" t="s">
        <v>19</v>
      </c>
      <c r="E25" s="3" t="s">
        <v>17</v>
      </c>
      <c r="F25" s="3" t="s">
        <v>32</v>
      </c>
      <c r="G25" s="3">
        <v>3</v>
      </c>
      <c r="H25" s="3">
        <v>21000</v>
      </c>
      <c r="I25" s="3">
        <f t="shared" si="0"/>
        <v>63000</v>
      </c>
    </row>
    <row r="26" spans="1:9" x14ac:dyDescent="0.35">
      <c r="A26" s="3">
        <v>24</v>
      </c>
      <c r="B26" s="4">
        <v>45717</v>
      </c>
      <c r="C26" s="3" t="s">
        <v>52</v>
      </c>
      <c r="D26" s="3" t="s">
        <v>29</v>
      </c>
      <c r="E26" s="3" t="s">
        <v>24</v>
      </c>
      <c r="F26" s="3" t="s">
        <v>36</v>
      </c>
      <c r="G26" s="3">
        <v>2</v>
      </c>
      <c r="H26" s="3">
        <v>52000</v>
      </c>
      <c r="I26" s="3">
        <f t="shared" si="0"/>
        <v>104000</v>
      </c>
    </row>
    <row r="27" spans="1:9" x14ac:dyDescent="0.35">
      <c r="A27" s="3">
        <v>25</v>
      </c>
      <c r="B27" s="4" t="s">
        <v>62</v>
      </c>
      <c r="C27" s="3" t="s">
        <v>43</v>
      </c>
      <c r="D27" s="3" t="s">
        <v>23</v>
      </c>
      <c r="E27" s="3" t="s">
        <v>20</v>
      </c>
      <c r="F27" s="3" t="s">
        <v>53</v>
      </c>
      <c r="G27" s="3">
        <v>7</v>
      </c>
      <c r="H27" s="3">
        <v>2000</v>
      </c>
      <c r="I27" s="3">
        <f t="shared" si="0"/>
        <v>14000</v>
      </c>
    </row>
    <row r="28" spans="1:9" x14ac:dyDescent="0.35">
      <c r="A28" s="3">
        <v>26</v>
      </c>
      <c r="B28" s="4" t="s">
        <v>63</v>
      </c>
      <c r="C28" s="3" t="s">
        <v>18</v>
      </c>
      <c r="D28" s="3" t="s">
        <v>19</v>
      </c>
      <c r="E28" s="3" t="s">
        <v>14</v>
      </c>
      <c r="F28" s="3" t="s">
        <v>34</v>
      </c>
      <c r="G28" s="3">
        <v>5</v>
      </c>
      <c r="H28" s="3">
        <v>2200</v>
      </c>
      <c r="I28" s="3">
        <f t="shared" si="0"/>
        <v>11000</v>
      </c>
    </row>
    <row r="29" spans="1:9" x14ac:dyDescent="0.35">
      <c r="A29" s="3">
        <v>27</v>
      </c>
      <c r="B29" s="4" t="s">
        <v>8</v>
      </c>
      <c r="C29" s="3" t="s">
        <v>54</v>
      </c>
      <c r="D29" s="3" t="s">
        <v>38</v>
      </c>
      <c r="E29" s="3" t="s">
        <v>17</v>
      </c>
      <c r="F29" s="3" t="s">
        <v>27</v>
      </c>
      <c r="G29" s="3">
        <v>6</v>
      </c>
      <c r="H29" s="3">
        <v>5000</v>
      </c>
      <c r="I29" s="3">
        <f t="shared" si="0"/>
        <v>30000</v>
      </c>
    </row>
    <row r="30" spans="1:9" x14ac:dyDescent="0.35">
      <c r="A30" s="3">
        <v>28</v>
      </c>
      <c r="B30" s="4" t="s">
        <v>62</v>
      </c>
      <c r="C30" s="3" t="s">
        <v>16</v>
      </c>
      <c r="D30" s="3" t="s">
        <v>29</v>
      </c>
      <c r="E30" s="3" t="s">
        <v>20</v>
      </c>
      <c r="F30" s="3" t="s">
        <v>25</v>
      </c>
      <c r="G30" s="3">
        <v>12</v>
      </c>
      <c r="H30" s="3">
        <v>1500</v>
      </c>
      <c r="I30" s="3">
        <f t="shared" si="0"/>
        <v>18000</v>
      </c>
    </row>
    <row r="31" spans="1:9" x14ac:dyDescent="0.35">
      <c r="A31" s="3">
        <v>29</v>
      </c>
      <c r="B31" s="4" t="s">
        <v>62</v>
      </c>
      <c r="C31" s="3" t="s">
        <v>22</v>
      </c>
      <c r="D31" s="3" t="s">
        <v>23</v>
      </c>
      <c r="E31" s="3" t="s">
        <v>24</v>
      </c>
      <c r="F31" s="3" t="s">
        <v>39</v>
      </c>
      <c r="G31" s="3">
        <v>4</v>
      </c>
      <c r="H31" s="3">
        <v>2500</v>
      </c>
      <c r="I31" s="3">
        <f t="shared" si="0"/>
        <v>10000</v>
      </c>
    </row>
    <row r="32" spans="1:9" x14ac:dyDescent="0.35">
      <c r="A32" s="3">
        <v>30</v>
      </c>
      <c r="B32" s="4" t="s">
        <v>64</v>
      </c>
      <c r="C32" s="3" t="s">
        <v>55</v>
      </c>
      <c r="D32" s="3" t="s">
        <v>29</v>
      </c>
      <c r="E32" s="3" t="s">
        <v>14</v>
      </c>
      <c r="F32" s="3" t="s">
        <v>30</v>
      </c>
      <c r="G32" s="3">
        <v>3</v>
      </c>
      <c r="H32" s="3">
        <v>30000</v>
      </c>
      <c r="I32" s="3">
        <f t="shared" si="0"/>
        <v>90000</v>
      </c>
    </row>
    <row r="33" spans="10:10" x14ac:dyDescent="0.35">
      <c r="J33" t="str">
        <f>TRIM(PROPER(D32:D61))</f>
        <v/>
      </c>
    </row>
  </sheetData>
  <mergeCells count="1">
    <mergeCell ref="A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2025-10-28T07:27:21Z</dcterms:created>
  <dcterms:modified xsi:type="dcterms:W3CDTF">2025-10-29T06:12:51Z</dcterms:modified>
</cp:coreProperties>
</file>